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hidePivotFieldList="1" defaultThemeVersion="166925"/>
  <xr:revisionPtr revIDLastSave="321" documentId="11_E60897F41BE170836B02CE998F75CCDC64E183C8" xr6:coauthVersionLast="47" xr6:coauthVersionMax="47" xr10:uidLastSave="{504147C7-1AE5-4486-8A87-F00BC92D9930}"/>
  <bookViews>
    <workbookView xWindow="240" yWindow="105" windowWidth="14805" windowHeight="8010" firstSheet="1" activeTab="3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raw data" sheetId="1" r:id="rId5"/>
    <sheet name="analysis" sheetId="2" r:id="rId6"/>
  </sheets>
  <calcPr calcId="191028"/>
  <pivotCaches>
    <pivotCache cacheId="37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9" i="2"/>
  <c r="B7" i="2"/>
  <c r="B6" i="2"/>
  <c r="B5" i="2"/>
  <c r="B3" i="2"/>
</calcChain>
</file>

<file path=xl/sharedStrings.xml><?xml version="1.0" encoding="utf-8"?>
<sst xmlns="http://schemas.openxmlformats.org/spreadsheetml/2006/main" count="7050" uniqueCount="1108">
  <si>
    <t>status</t>
  </si>
  <si>
    <t>Count of status</t>
  </si>
  <si>
    <t>closed</t>
  </si>
  <si>
    <t>pending</t>
  </si>
  <si>
    <t>resolved</t>
  </si>
  <si>
    <t>Grand Total</t>
  </si>
  <si>
    <t>priority</t>
  </si>
  <si>
    <t>Count of priority</t>
  </si>
  <si>
    <t>P1</t>
  </si>
  <si>
    <t>P2</t>
  </si>
  <si>
    <t>P3</t>
  </si>
  <si>
    <t>P4</t>
  </si>
  <si>
    <t>channel</t>
  </si>
  <si>
    <t>Count of channel</t>
  </si>
  <si>
    <t>chat</t>
  </si>
  <si>
    <t>email</t>
  </si>
  <si>
    <t>phone</t>
  </si>
  <si>
    <t>portal</t>
  </si>
  <si>
    <t>category_id</t>
  </si>
  <si>
    <t>Count of category_id</t>
  </si>
  <si>
    <t>ticket_id</t>
  </si>
  <si>
    <t>created_at</t>
  </si>
  <si>
    <t>first_response_at</t>
  </si>
  <si>
    <t>resolved_at</t>
  </si>
  <si>
    <t>assigned_agent_id</t>
  </si>
  <si>
    <t>requester_department</t>
  </si>
  <si>
    <t>affected_service</t>
  </si>
  <si>
    <t>summary</t>
  </si>
  <si>
    <t>description</t>
  </si>
  <si>
    <t>escalated</t>
  </si>
  <si>
    <t>outage_related</t>
  </si>
  <si>
    <t>Finance</t>
  </si>
  <si>
    <t>business-apps</t>
  </si>
  <si>
    <t>New Zebra printer not visible to shipping station.</t>
  </si>
  <si>
    <t>New Zebra printer not visible to shipping station. Reported by Danielle from HR.</t>
  </si>
  <si>
    <t>Warehouse</t>
  </si>
  <si>
    <t>voice</t>
  </si>
  <si>
    <t>Sales laptop webcam missing from device manager.</t>
  </si>
  <si>
    <t>Sales laptop webcam missing from device manager. Reported by Angel from Warehouse.</t>
  </si>
  <si>
    <t>IT</t>
  </si>
  <si>
    <t>saas</t>
  </si>
  <si>
    <t>Outlook keeps prompting for password on Mac.</t>
  </si>
  <si>
    <t>Outlook keeps prompting for password on Mac. Reported by Joshua from Warehouse.</t>
  </si>
  <si>
    <t>security</t>
  </si>
  <si>
    <t>VPN disconnects every 15 minutes on hotel Wi-Fi.</t>
  </si>
  <si>
    <t>VPN disconnects every 15 minutes on hotel Wi-Fi. Reported by Jeffrey from Sales.</t>
  </si>
  <si>
    <t>network</t>
  </si>
  <si>
    <t>Spam burst hit shared support inbox this morning.</t>
  </si>
  <si>
    <t>Spam burst hit shared support inbox this morning. Reported by Jill from Operations.</t>
  </si>
  <si>
    <t>Sales</t>
  </si>
  <si>
    <t>Intune enrollment stuck on compliance evaluation.</t>
  </si>
  <si>
    <t>Intune enrollment stuck on compliance evaluation. Reported by Erica from Warehouse.</t>
  </si>
  <si>
    <t>Operations</t>
  </si>
  <si>
    <t>Customer portal SSO redirects to blank page.</t>
  </si>
  <si>
    <t>Customer portal SSO redirects to blank page. Reported by Patricia from HR.</t>
  </si>
  <si>
    <t>Voicemail transcription unavailable in mobile app.</t>
  </si>
  <si>
    <t>Voicemail transcription unavailable in mobile app. Reported by Christopher from Warehouse.</t>
  </si>
  <si>
    <t>endpoint</t>
  </si>
  <si>
    <t>Teams meeting room camera flickers after restart.</t>
  </si>
  <si>
    <t>Teams meeting room camera flickers after restart. Reported by Robert from Operations.</t>
  </si>
  <si>
    <t>BitLocker recovery key prompt appears at boot.</t>
  </si>
  <si>
    <t>BitLocker recovery key prompt appears at boot. Reported by Anthony from Operations.</t>
  </si>
  <si>
    <t>Docking station no longer drives dual monitors.</t>
  </si>
  <si>
    <t>Docking station no longer drives dual monitors. Reported by Jeffery from HR.</t>
  </si>
  <si>
    <t>Scanner cradle not charging overnight.</t>
  </si>
  <si>
    <t>Scanner cradle not charging overnight. Reported by William from Finance.</t>
  </si>
  <si>
    <t>Scanner firmware update broke keyboard wedge mode.</t>
  </si>
  <si>
    <t>Scanner firmware update broke keyboard wedge mode. Reported by Anthony from Operations.</t>
  </si>
  <si>
    <t>HR</t>
  </si>
  <si>
    <t>MFA push not arriving on replacement phone.</t>
  </si>
  <si>
    <t>MFA push not arriving on replacement phone. Reported by James from Finance.</t>
  </si>
  <si>
    <t>identity</t>
  </si>
  <si>
    <t>Voicemail transcription unavailable in mobile app. Reported by Debra from Warehouse.</t>
  </si>
  <si>
    <t>peripherals</t>
  </si>
  <si>
    <t>New Zebra printer not visible to shipping station. Reported by Amy from Operations.</t>
  </si>
  <si>
    <t>Printer on dock 4 is stuck in offline state.</t>
  </si>
  <si>
    <t>Printer on dock 4 is stuck in offline state. Reported by Jeffrey from Warehouse.</t>
  </si>
  <si>
    <t>Spam burst hit shared support inbox this morning. Reported by Bridget from Finance.</t>
  </si>
  <si>
    <t>Teams channels inaccessible during tenant incident.</t>
  </si>
  <si>
    <t>Teams channels inaccessible during tenant incident. Reported by Lisa from Warehouse.</t>
  </si>
  <si>
    <t>in_progress</t>
  </si>
  <si>
    <t>SSO certificate warning shown on benefits portal.</t>
  </si>
  <si>
    <t>SSO certificate warning shown on benefits portal. Reported by Adam from HR.</t>
  </si>
  <si>
    <t>Scanner firmware update broke keyboard wedge mode. Reported by Linda from Warehouse.</t>
  </si>
  <si>
    <t>Scanner firmware update broke keyboard wedge mode. Reported by Helen from Warehouse.</t>
  </si>
  <si>
    <t>Warehouse RF gun drops Wi-Fi in aisle B.</t>
  </si>
  <si>
    <t>Warehouse RF gun drops Wi-Fi in aisle B. Reported by Matthew from HR.</t>
  </si>
  <si>
    <t>VPN fails only for users in Phoenix office.</t>
  </si>
  <si>
    <t>VPN fails only for users in Phoenix office. Reported by Eric from Operations.</t>
  </si>
  <si>
    <t>Barcode labels printing with incorrect dimensions.</t>
  </si>
  <si>
    <t>Barcode labels printing with incorrect dimensions. Reported by Susan from Operations.</t>
  </si>
  <si>
    <t>ERP purchase order screen timing out for AP team.</t>
  </si>
  <si>
    <t>ERP purchase order screen timing out for AP team. Reported by Matthew from Operations.</t>
  </si>
  <si>
    <t>Email quarantine released but message still missing.</t>
  </si>
  <si>
    <t>Email quarantine released but message still missing. Reported by Christopher from Operations.</t>
  </si>
  <si>
    <t>New Zebra printer not visible to shipping station. Reported by Colin from Sales.</t>
  </si>
  <si>
    <t>Label printer feeds blank stock after maintenance.</t>
  </si>
  <si>
    <t>Label printer feeds blank stock after maintenance. Reported by Melanie from Finance.</t>
  </si>
  <si>
    <t>Power BI refresh failing after service account rotation.</t>
  </si>
  <si>
    <t>Power BI refresh failing after service account rotation. Reported by Cassandra from Sales.</t>
  </si>
  <si>
    <t>Single sign-on to HRIS returns invalid relay state.</t>
  </si>
  <si>
    <t>Single sign-on to HRIS returns invalid relay state. Reported by Lindsay from Warehouse.</t>
  </si>
  <si>
    <t>Email signatures disappeared for sales team.</t>
  </si>
  <si>
    <t>Email signatures disappeared for sales team. Reported by Jessica from Operations.</t>
  </si>
  <si>
    <t>Teams calls dropping audio after two minutes.</t>
  </si>
  <si>
    <t>Teams calls dropping audio after two minutes. Reported by Amanda from Sales.</t>
  </si>
  <si>
    <t>Conference room display shows no HDMI signal.</t>
  </si>
  <si>
    <t>Conference room display shows no HDMI signal. Reported by Teresa from HR.</t>
  </si>
  <si>
    <t>ERP purchase order screen timing out for AP team. Reported by Nicholas from Operations.</t>
  </si>
  <si>
    <t>Intune enrollment stuck on compliance evaluation. Reported by Andrea from Finance.</t>
  </si>
  <si>
    <t>Excel add-in blocked by security policy.</t>
  </si>
  <si>
    <t>Excel add-in blocked by security policy. Reported by Maria from Finance.</t>
  </si>
  <si>
    <t>Single sign-on to HRIS returns invalid relay state. Reported by Christine from Warehouse.</t>
  </si>
  <si>
    <t>User cannot map shared drive from new laptop.</t>
  </si>
  <si>
    <t>User cannot map shared drive from new laptop. Reported by Michelle from Warehouse.</t>
  </si>
  <si>
    <t>VPN fails only for users in Phoenix office. Reported by Barbara from Sales.</t>
  </si>
  <si>
    <t>VPN disconnects every 15 minutes on hotel Wi-Fi. Reported by Janet from Sales.</t>
  </si>
  <si>
    <t>Conditional access policy locked out break-glass account.</t>
  </si>
  <si>
    <t>Conditional access policy locked out break-glass account. Reported by Brandon from Operations.</t>
  </si>
  <si>
    <t>Conference room display shows no HDMI signal. Reported by Jeremy from Finance.</t>
  </si>
  <si>
    <t>Conditional access policy locked out break-glass account. Reported by Keith from Finance.</t>
  </si>
  <si>
    <t>Suspicious login alert triggered for finance user.</t>
  </si>
  <si>
    <t>Suspicious login alert triggered for finance user. Reported by Christopher from Sales.</t>
  </si>
  <si>
    <t>ERP purchase order screen timing out for AP team. Reported by Jesse from Warehouse.</t>
  </si>
  <si>
    <t>Mailbox forwarding rule recreated after removal.</t>
  </si>
  <si>
    <t>Mailbox forwarding rule recreated after removal. Reported by Craig from Operations.</t>
  </si>
  <si>
    <t>Teams calls dropping audio after two minutes. Reported by Joshua from Finance.</t>
  </si>
  <si>
    <t>Password reset loop continues after successful change.</t>
  </si>
  <si>
    <t>Password reset loop continues after successful change. Reported by Cynthia from HR.</t>
  </si>
  <si>
    <t>Password reset loop continues after successful change. Reported by Michael from Warehouse.</t>
  </si>
  <si>
    <t>Scanner firmware update broke keyboard wedge mode. Reported by Mitchell from Operations.</t>
  </si>
  <si>
    <t>ERP role request approved but not applied.</t>
  </si>
  <si>
    <t>ERP role request approved but not applied. Reported by Jason from Warehouse.</t>
  </si>
  <si>
    <t>Spam burst hit shared support inbox this morning. Reported by Joseph from Sales.</t>
  </si>
  <si>
    <t>Slack notifications delayed for customer support queue.</t>
  </si>
  <si>
    <t>Slack notifications delayed for customer support queue. Reported by Sharon from Operations.</t>
  </si>
  <si>
    <t>VPN client update failed with rollback error.</t>
  </si>
  <si>
    <t>VPN client update failed with rollback error. Reported by Deborah from Warehouse.</t>
  </si>
  <si>
    <t>Warehouse scanner will not sync picks to WMS.</t>
  </si>
  <si>
    <t>Warehouse scanner will not sync picks to WMS. Reported by Chelsea from Finance.</t>
  </si>
  <si>
    <t>Scanner cradle not charging overnight. Reported by George from HR.</t>
  </si>
  <si>
    <t>ERP role request approved but not applied. Reported by Jessica from Sales.</t>
  </si>
  <si>
    <t>New Zebra printer not visible to shipping station. Reported by Frank from Warehouse.</t>
  </si>
  <si>
    <t>VPN fails only for users in Phoenix office. Reported by Noah from Operations.</t>
  </si>
  <si>
    <t>VPN fails only for users in Phoenix office. Reported by Veronica from Operations.</t>
  </si>
  <si>
    <t>Single sign-on to HRIS returns invalid relay state. Reported by Danielle from Warehouse.</t>
  </si>
  <si>
    <t>Sales laptop webcam missing from device manager. Reported by Angela from Warehouse.</t>
  </si>
  <si>
    <t>Suspicious login alert triggered for finance user. Reported by Gabrielle from Operations.</t>
  </si>
  <si>
    <t>Conference room display shows no HDMI signal. Reported by Megan from Finance.</t>
  </si>
  <si>
    <t>Teams calls dropping audio after two minutes. Reported by Kimberly from HR.</t>
  </si>
  <si>
    <t>Scanner cradle not charging overnight. Reported by Jeremy from Sales.</t>
  </si>
  <si>
    <t>Spam burst hit shared support inbox this morning. Reported by Antonio from Finance.</t>
  </si>
  <si>
    <t>Scanner cradle not charging overnight. Reported by Leslie from Sales.</t>
  </si>
  <si>
    <t>CEO calendar delegate can no longer edit events.</t>
  </si>
  <si>
    <t>CEO calendar delegate can no longer edit events. Reported by Joseph from Operations.</t>
  </si>
  <si>
    <t>ERP role request approved but not applied. Reported by Jason from Sales.</t>
  </si>
  <si>
    <t>Cannot sign in to Okta after password reset.</t>
  </si>
  <si>
    <t>Cannot sign in to Okta after password reset. Reported by Sherri from Sales.</t>
  </si>
  <si>
    <t>VPN outage reported by remote finance staff.</t>
  </si>
  <si>
    <t>VPN outage reported by remote finance staff. Reported by Nancy from Warehouse.</t>
  </si>
  <si>
    <t>Intune enrollment stuck on compliance evaluation. Reported by Leonard from Sales.</t>
  </si>
  <si>
    <t>ERP purchase order screen timing out for AP team. Reported by Diana from Finance.</t>
  </si>
  <si>
    <t>Power BI refresh failing after service account rotation. Reported by Randall from HR.</t>
  </si>
  <si>
    <t>Scanner firmware update broke keyboard wedge mode. Reported by Robin from Warehouse.</t>
  </si>
  <si>
    <t>Print queue stalled for shipping label batch.</t>
  </si>
  <si>
    <t>Print queue stalled for shipping label batch. Reported by Stephen from Finance.</t>
  </si>
  <si>
    <t>SSO certificate warning shown on benefits portal. Reported by Joseph from HR.</t>
  </si>
  <si>
    <t>Mailbox forwarding rule recreated after removal. Reported by John from Warehouse.</t>
  </si>
  <si>
    <t>Cannot sign in to Okta after password reset. Reported by Anna from Warehouse.</t>
  </si>
  <si>
    <t>Conference room display shows no HDMI signal. Reported by Jose from Finance.</t>
  </si>
  <si>
    <t>Docking station no longer drives dual monitors. Reported by Brenda from Sales.</t>
  </si>
  <si>
    <t>Citrix launch freezes on black screen.</t>
  </si>
  <si>
    <t>Citrix launch freezes on black screen. Reported by Rachael from Operations.</t>
  </si>
  <si>
    <t>CEO calendar delegate can no longer edit events. Reported by Reginald from Warehouse.</t>
  </si>
  <si>
    <t>New hire missing access to onboarding portal.</t>
  </si>
  <si>
    <t>New hire missing access to onboarding portal. Reported by Jeffrey from Finance.</t>
  </si>
  <si>
    <t>Teams calls dropping audio after two minutes. Reported by Whitney from Warehouse.</t>
  </si>
  <si>
    <t>Docking station no longer drives dual monitors. Reported by William from Warehouse.</t>
  </si>
  <si>
    <t>Print queue stalled for shipping label batch. Reported by Christopher from HR.</t>
  </si>
  <si>
    <t>Procurement team reports ERP attachments missing.</t>
  </si>
  <si>
    <t>Procurement team reports ERP attachments missing. Reported by Brandon from Sales.</t>
  </si>
  <si>
    <t>Excel add-in blocked by security policy. Reported by Daniel from Operations.</t>
  </si>
  <si>
    <t>BitLocker recovery key prompt appears at boot. Reported by Courtney from Operations.</t>
  </si>
  <si>
    <t>MFA push not arriving on replacement phone. Reported by Laura from Warehouse.</t>
  </si>
  <si>
    <t>ERP role request approved but not applied. Reported by Robert from HR.</t>
  </si>
  <si>
    <t>VPN fails only for users in Phoenix office. Reported by Bryan from Warehouse.</t>
  </si>
  <si>
    <t>Warehouse scanner will not sync picks to WMS. Reported by Patrick from HR.</t>
  </si>
  <si>
    <t>Procurement team reports ERP attachments missing. Reported by Wendy from Finance.</t>
  </si>
  <si>
    <t>New contractor needs temporary access to WMS.</t>
  </si>
  <si>
    <t>New contractor needs temporary access to WMS. Reported by Allison from Sales.</t>
  </si>
  <si>
    <t>SSO certificate warning shown on benefits portal. Reported by Tasha from HR.</t>
  </si>
  <si>
    <t>Teams calls dropping audio after two minutes. Reported by Michelle from HR.</t>
  </si>
  <si>
    <t>Warehouse tablet battery draining within one shift.</t>
  </si>
  <si>
    <t>Warehouse tablet battery draining within one shift. Reported by Alexander from Finance.</t>
  </si>
  <si>
    <t>Citrix launch freezes on black screen. Reported by Jennifer from Finance.</t>
  </si>
  <si>
    <t>Customer portal SSO redirects to blank page. Reported by Erin from Sales.</t>
  </si>
  <si>
    <t>Mailbox forwarding rule recreated after removal. Reported by Amanda from Warehouse.</t>
  </si>
  <si>
    <t>Warehouse tablet battery draining within one shift. Reported by Joseph from Warehouse.</t>
  </si>
  <si>
    <t>Power BI refresh failing after service account rotation. Reported by Danielle from Sales.</t>
  </si>
  <si>
    <t>Email quarantine released but message still missing. Reported by Daniel from HR.</t>
  </si>
  <si>
    <t>Payroll batch job missed scheduled overnight window.</t>
  </si>
  <si>
    <t>Payroll batch job missed scheduled overnight window. Reported by Ryan from Warehouse.</t>
  </si>
  <si>
    <t>Label printer feeds blank stock after maintenance. Reported by Shawn from Sales.</t>
  </si>
  <si>
    <t>New hire missing access to onboarding portal. Reported by Stephanie from Finance.</t>
  </si>
  <si>
    <t>Spam burst hit shared support inbox this morning. Reported by Nancy from Operations.</t>
  </si>
  <si>
    <t>Password reset loop continues after successful change. Reported by Jose from HR.</t>
  </si>
  <si>
    <t>Email signatures disappeared for sales team. Reported by Vincent from HR.</t>
  </si>
  <si>
    <t>Outlook keeps prompting for password on Mac. Reported by Guy from HR.</t>
  </si>
  <si>
    <t>Label printer feeds blank stock after maintenance. Reported by Rita from Operations.</t>
  </si>
  <si>
    <t>Payroll batch job missed scheduled overnight window. Reported by Monica from Operations.</t>
  </si>
  <si>
    <t>Excel add-in blocked by security policy. Reported by Kenneth from HR.</t>
  </si>
  <si>
    <t>Customer portal SSO redirects to blank page. Reported by Danielle from Finance.</t>
  </si>
  <si>
    <t>MFA push not arriving on replacement phone. Reported by Chelsea from Operations.</t>
  </si>
  <si>
    <t>Email search indexing incomplete after migration.</t>
  </si>
  <si>
    <t>Email search indexing incomplete after migration. Reported by Eric from Operations.</t>
  </si>
  <si>
    <t>Scanner firmware update broke keyboard wedge mode. Reported by Kathryn from HR.</t>
  </si>
  <si>
    <t>MFA push not arriving on replacement phone. Reported by Amber from Warehouse.</t>
  </si>
  <si>
    <t>Docking station no longer drives dual monitors. Reported by Kimberly from Operations.</t>
  </si>
  <si>
    <t>VPN disconnects every 15 minutes on hotel Wi-Fi. Reported by Alyssa from Finance.</t>
  </si>
  <si>
    <t>Citrix launch freezes on black screen. Reported by Aaron from HR.</t>
  </si>
  <si>
    <t>Intune enrollment stuck on compliance evaluation. Reported by Mario from Sales.</t>
  </si>
  <si>
    <t>M365 outage causing login failures across offices.</t>
  </si>
  <si>
    <t>M365 outage causing login failures across offices. Reported by Andrew from Operations.</t>
  </si>
  <si>
    <t>Label printer feeds blank stock after maintenance. Reported by Sarah from Finance.</t>
  </si>
  <si>
    <t>Excel add-in blocked by security policy. Reported by Natasha from Warehouse.</t>
  </si>
  <si>
    <t>Print queue stalled for shipping label batch. Reported by Marie from Warehouse.</t>
  </si>
  <si>
    <t>Teams meeting room camera flickers after restart. Reported by Kyle from HR.</t>
  </si>
  <si>
    <t>VPN outage reported by remote finance staff. Reported by Brian from Finance.</t>
  </si>
  <si>
    <t>Scanner firmware update broke keyboard wedge mode. Reported by Natalie from Warehouse.</t>
  </si>
  <si>
    <t>Procurement team reports ERP attachments missing. Reported by Stacey from Warehouse.</t>
  </si>
  <si>
    <t>CEO calendar delegate can no longer edit events. Reported by Christopher from Finance.</t>
  </si>
  <si>
    <t>Email signatures disappeared for sales team. Reported by Todd from Operations.</t>
  </si>
  <si>
    <t>New hire missing access to onboarding portal. Reported by Chad from Operations.</t>
  </si>
  <si>
    <t>Barcode labels printing with incorrect dimensions. Reported by Kathleen from HR.</t>
  </si>
  <si>
    <t>Outlook keeps prompting for password on Mac. Reported by Katie from Warehouse.</t>
  </si>
  <si>
    <t>Scanner firmware update broke keyboard wedge mode. Reported by David from Operations.</t>
  </si>
  <si>
    <t>Citrix launch freezes on black screen. Reported by Thomas from Operations.</t>
  </si>
  <si>
    <t>Scanner firmware update broke keyboard wedge mode. Reported by Andrea from Sales.</t>
  </si>
  <si>
    <t>Power BI refresh failing after service account rotation. Reported by Joseph from Operations.</t>
  </si>
  <si>
    <t>Docking station no longer drives dual monitors. Reported by Monique from Sales.</t>
  </si>
  <si>
    <t>Conference room display shows no HDMI signal. Reported by Rodney from HR.</t>
  </si>
  <si>
    <t>Warehouse scanner will not sync picks to WMS. Reported by Jason from HR.</t>
  </si>
  <si>
    <t>Voicemail transcription unavailable in mobile app. Reported by Amber from Finance.</t>
  </si>
  <si>
    <t>Mailbox forwarding rule recreated after removal. Reported by Jessica from HR.</t>
  </si>
  <si>
    <t>Payroll batch job missed scheduled overnight window. Reported by James from Sales.</t>
  </si>
  <si>
    <t>ERP purchase order screen timing out for AP team. Reported by Larry from Operations.</t>
  </si>
  <si>
    <t>Cannot sign in to Okta after password reset. Reported by Wanda from Finance.</t>
  </si>
  <si>
    <t>MFA push not arriving on replacement phone. Reported by Debra from Finance.</t>
  </si>
  <si>
    <t>Excel add-in blocked by security policy. Reported by Samuel from Operations.</t>
  </si>
  <si>
    <t>Teams meeting room camera flickers after restart. Reported by Zachary from Warehouse.</t>
  </si>
  <si>
    <t>Laptop blue-screened during payroll export.</t>
  </si>
  <si>
    <t>Laptop blue-screened during payroll export. Reported by David from HR.</t>
  </si>
  <si>
    <t>Mailbox forwarding rule recreated after removal. Reported by Jeffrey from HR.</t>
  </si>
  <si>
    <t>Shared mailbox permissions disappeared overnight.</t>
  </si>
  <si>
    <t>Shared mailbox permissions disappeared overnight. Reported by Matthew from HR.</t>
  </si>
  <si>
    <t>CEO calendar delegate can no longer edit events. Reported by Brianna from Warehouse.</t>
  </si>
  <si>
    <t>MFA push not arriving on replacement phone. Reported by Jerry from Operations.</t>
  </si>
  <si>
    <t>Warehouse tablet battery draining within one shift. Reported by Jeffrey from Operations.</t>
  </si>
  <si>
    <t>Scanner cradle not charging overnight. Reported by Chad from Finance.</t>
  </si>
  <si>
    <t>Teams channels inaccessible during tenant incident. Reported by Crystal from HR.</t>
  </si>
  <si>
    <t>Teams calls dropping audio after two minutes. Reported by Rebecca from HR.</t>
  </si>
  <si>
    <t>Email search indexing incomplete after migration. Reported by Michele from Sales.</t>
  </si>
  <si>
    <t>Payroll batch job missed scheduled overnight window. Reported by Chad from Operations.</t>
  </si>
  <si>
    <t>ERP role request approved but not applied. Reported by John from Warehouse.</t>
  </si>
  <si>
    <t>CEO calendar delegate can no longer edit events. Reported by Elizabeth from Warehouse.</t>
  </si>
  <si>
    <t>ERP purchase order screen timing out for AP team. Reported by Jason from Operations.</t>
  </si>
  <si>
    <t>Intune enrollment stuck on compliance evaluation. Reported by David from Warehouse.</t>
  </si>
  <si>
    <t>Slack notifications delayed for customer support queue. Reported by Selena from HR.</t>
  </si>
  <si>
    <t>Email search indexing incomplete after migration. Reported by Ashley from Operations.</t>
  </si>
  <si>
    <t>VPN disconnects every 15 minutes on hotel Wi-Fi. Reported by Thomas from Operations.</t>
  </si>
  <si>
    <t>Mailbox forwarding rule recreated after removal. Reported by Kristen from Operations.</t>
  </si>
  <si>
    <t>New contractor needs temporary access to WMS. Reported by Lindsey from Warehouse.</t>
  </si>
  <si>
    <t>Single sign-on to HRIS returns invalid relay state. Reported by James from HR.</t>
  </si>
  <si>
    <t>ERP purchase order screen timing out for AP team. Reported by Collin from Warehouse.</t>
  </si>
  <si>
    <t>Shared mailbox permissions disappeared overnight. Reported by Ryan from Warehouse.</t>
  </si>
  <si>
    <t>Barcode labels printing with incorrect dimensions. Reported by Rodney from HR.</t>
  </si>
  <si>
    <t>Phone soft client cannot register after ISP change.</t>
  </si>
  <si>
    <t>Phone soft client cannot register after ISP change. Reported by Stuart from HR.</t>
  </si>
  <si>
    <t>Warehouse RF gun drops Wi-Fi in aisle B. Reported by Jessica from Operations.</t>
  </si>
  <si>
    <t>Warehouse tablet battery draining within one shift. Reported by Emily from HR.</t>
  </si>
  <si>
    <t>ERP role request approved but not applied. Reported by Tracey from Warehouse.</t>
  </si>
  <si>
    <t>Citrix launch freezes on black screen. Reported by Corey from Sales.</t>
  </si>
  <si>
    <t>New hire missing access to onboarding portal. Reported by Richard from Operations.</t>
  </si>
  <si>
    <t>Label printer feeds blank stock after maintenance. Reported by Matthew from Warehouse.</t>
  </si>
  <si>
    <t>Service account password expired on integration job.</t>
  </si>
  <si>
    <t>Service account password expired on integration job. Reported by Michelle from Operations.</t>
  </si>
  <si>
    <t>Email quarantine released but message still missing. Reported by John from HR.</t>
  </si>
  <si>
    <t>Conditional access policy locked out break-glass account. Reported by James from Finance.</t>
  </si>
  <si>
    <t>Label printer feeds blank stock after maintenance. Reported by Shane from HR.</t>
  </si>
  <si>
    <t>Label printer feeds blank stock after maintenance. Reported by Robert from Sales.</t>
  </si>
  <si>
    <t>Docking station no longer drives dual monitors. Reported by Joshua from Sales.</t>
  </si>
  <si>
    <t>Customer portal SSO redirects to blank page. Reported by John from Sales.</t>
  </si>
  <si>
    <t>Sales laptop webcam missing from device manager. Reported by Sandra from Operations.</t>
  </si>
  <si>
    <t>New contractor needs temporary access to WMS. Reported by Scott from Sales.</t>
  </si>
  <si>
    <t>Email signatures disappeared for sales team. Reported by Michelle from HR.</t>
  </si>
  <si>
    <t>Excel add-in blocked by security policy. Reported by Andrea from Warehouse.</t>
  </si>
  <si>
    <t>New hire missing access to onboarding portal. Reported by Brent from HR.</t>
  </si>
  <si>
    <t>Conference room display shows no HDMI signal. Reported by Yvette from Finance.</t>
  </si>
  <si>
    <t>Scanner firmware update broke keyboard wedge mode. Reported by Mary from HR.</t>
  </si>
  <si>
    <t>Customer portal SSO redirects to blank page. Reported by Tanya from Warehouse.</t>
  </si>
  <si>
    <t>Slack notifications delayed for customer support queue. Reported by Sara from Warehouse.</t>
  </si>
  <si>
    <t>Barcode labels printing with incorrect dimensions. Reported by Melinda from Warehouse.</t>
  </si>
  <si>
    <t>Finance cannot export month-end AP aging report.</t>
  </si>
  <si>
    <t>Finance cannot export month-end AP aging report. Reported by Gabriel from Sales.</t>
  </si>
  <si>
    <t>VPN client update failed with rollback error. Reported by Todd from Warehouse.</t>
  </si>
  <si>
    <t>Excel add-in blocked by security policy. Reported by Jason from Warehouse.</t>
  </si>
  <si>
    <t>Print queue stalled for shipping label batch. Reported by Richard from Operations.</t>
  </si>
  <si>
    <t>Printer on dock 4 is stuck in offline state. Reported by Brian from Sales.</t>
  </si>
  <si>
    <t>VPN outage reported by remote finance staff. Reported by Nicholas from Finance.</t>
  </si>
  <si>
    <t>Service account password expired on integration job. Reported by Tricia from Operations.</t>
  </si>
  <si>
    <t>Distribution center users cannot reach file server.</t>
  </si>
  <si>
    <t>Distribution center users cannot reach file server. Reported by Joseph from Operations.</t>
  </si>
  <si>
    <t>Barcode labels printing with incorrect dimensions. Reported by Kristen from Sales.</t>
  </si>
  <si>
    <t>User cannot map shared drive from new laptop. Reported by Spencer from Sales.</t>
  </si>
  <si>
    <t>M365 outage causing login failures across offices. Reported by Rodney from Sales.</t>
  </si>
  <si>
    <t>Excel add-in blocked by security policy. Reported by Susan from Finance.</t>
  </si>
  <si>
    <t>Teams meeting room camera flickers after restart. Reported by Wendy from Operations.</t>
  </si>
  <si>
    <t>VPN fails only for users in Phoenix office. Reported by Angela from Operations.</t>
  </si>
  <si>
    <t>Warehouse RF gun drops Wi-Fi in aisle B. Reported by Jennifer from Finance.</t>
  </si>
  <si>
    <t>New contractor needs temporary access to WMS. Reported by Eric from Sales.</t>
  </si>
  <si>
    <t>BitLocker recovery key prompt appears at boot. Reported by Kenneth from Warehouse.</t>
  </si>
  <si>
    <t>Shared mailbox permissions disappeared overnight. Reported by Tanya from Sales.</t>
  </si>
  <si>
    <t>Voicemail transcription unavailable in mobile app. Reported by Beth from Sales.</t>
  </si>
  <si>
    <t>Citrix launch freezes on black screen. Reported by Amy from HR.</t>
  </si>
  <si>
    <t>Conference room display shows no HDMI signal. Reported by Julie from Finance.</t>
  </si>
  <si>
    <t>Email signatures disappeared for sales team. Reported by Brian from Sales.</t>
  </si>
  <si>
    <t>Procurement team reports ERP attachments missing. Reported by Breanna from Sales.</t>
  </si>
  <si>
    <t>Teams calls dropping audio after two minutes. Reported by Wesley from HR.</t>
  </si>
  <si>
    <t>User cannot map shared drive from new laptop. Reported by Melissa from Operations.</t>
  </si>
  <si>
    <t>Password reset loop continues after successful change. Reported by Eric from Operations.</t>
  </si>
  <si>
    <t>Finance cannot export month-end AP aging report. Reported by Susan from Sales.</t>
  </si>
  <si>
    <t>Email signatures disappeared for sales team. Reported by Christopher from Warehouse.</t>
  </si>
  <si>
    <t>Spam burst hit shared support inbox this morning. Reported by Jacob from Sales.</t>
  </si>
  <si>
    <t>VPN client update failed with rollback error. Reported by Brooke from Operations.</t>
  </si>
  <si>
    <t>VPN client update failed with rollback error. Reported by Emma from HR.</t>
  </si>
  <si>
    <t>CEO calendar delegate can no longer edit events. Reported by Joe from Warehouse.</t>
  </si>
  <si>
    <t>Outlook keeps prompting for password on Mac. Reported by David from Operations.</t>
  </si>
  <si>
    <t>Teams channels inaccessible during tenant incident. Reported by Pamela from Finance.</t>
  </si>
  <si>
    <t>Print queue stalled for shipping label batch. Reported by John from Finance.</t>
  </si>
  <si>
    <t>VPN fails only for users in Phoenix office. Reported by Brooke from Warehouse.</t>
  </si>
  <si>
    <t>Conference room display shows no HDMI signal. Reported by Christine from Sales.</t>
  </si>
  <si>
    <t>Laptop blue-screened during payroll export. Reported by Robert from Finance.</t>
  </si>
  <si>
    <t>Email signatures disappeared for sales team. Reported by Brandy from Operations.</t>
  </si>
  <si>
    <t>Teams calls dropping audio after two minutes. Reported by Alexandra from Operations.</t>
  </si>
  <si>
    <t>Teams channels inaccessible during tenant incident. Reported by Sarah from Warehouse.</t>
  </si>
  <si>
    <t>Warehouse tablet battery draining within one shift. Reported by James from HR.</t>
  </si>
  <si>
    <t>Procurement team reports ERP attachments missing. Reported by Jennifer from HR.</t>
  </si>
  <si>
    <t>Spam burst hit shared support inbox this morning. Reported by John from Finance.</t>
  </si>
  <si>
    <t>Distribution center users cannot reach file server. Reported by Randy from Sales.</t>
  </si>
  <si>
    <t>CEO calendar delegate can no longer edit events. Reported by Emily from HR.</t>
  </si>
  <si>
    <t>Slack notifications delayed for customer support queue. Reported by Kevin from Warehouse.</t>
  </si>
  <si>
    <t>ERP purchase order screen timing out for AP team. Reported by Leslie from Sales.</t>
  </si>
  <si>
    <t>Warehouse RF gun drops Wi-Fi in aisle B. Reported by Karen from HR.</t>
  </si>
  <si>
    <t>MFA push not arriving on replacement phone. Reported by Charles from Finance.</t>
  </si>
  <si>
    <t>New contractor needs temporary access to WMS. Reported by Stephen from HR.</t>
  </si>
  <si>
    <t>Excel add-in blocked by security policy. Reported by Yolanda from HR.</t>
  </si>
  <si>
    <t>Distribution center users cannot reach file server. Reported by Wendy from Warehouse.</t>
  </si>
  <si>
    <t>Sales laptop webcam missing from device manager. Reported by Charles from HR.</t>
  </si>
  <si>
    <t>CEO calendar delegate can no longer edit events. Reported by Jason from HR.</t>
  </si>
  <si>
    <t>Spam burst hit shared support inbox this morning. Reported by Joseph from Warehouse.</t>
  </si>
  <si>
    <t>Scanner cradle not charging overnight. Reported by Sarah from Finance.</t>
  </si>
  <si>
    <t>Label printer feeds blank stock after maintenance. Reported by Nicole from Operations.</t>
  </si>
  <si>
    <t>Voicemail transcription unavailable in mobile app. Reported by Natasha from Operations.</t>
  </si>
  <si>
    <t>Procurement team reports ERP attachments missing. Reported by Mike from Operations.</t>
  </si>
  <si>
    <t>Spam burst hit shared support inbox this morning. Reported by Eric from Operations.</t>
  </si>
  <si>
    <t>New Zebra printer not visible to shipping station. Reported by Martha from Sales.</t>
  </si>
  <si>
    <t>SSO certificate warning shown on benefits portal. Reported by Jade from Warehouse.</t>
  </si>
  <si>
    <t>Teams meeting room camera flickers after restart. Reported by Cheryl from Sales.</t>
  </si>
  <si>
    <t>Conference room display shows no HDMI signal. Reported by Vanessa from Warehouse.</t>
  </si>
  <si>
    <t>SSO certificate warning shown on benefits portal. Reported by Destiny from HR.</t>
  </si>
  <si>
    <t>Printer on dock 4 is stuck in offline state. Reported by Alan from HR.</t>
  </si>
  <si>
    <t>M365 outage causing login failures across offices. Reported by Lisa from HR.</t>
  </si>
  <si>
    <t>Shared mailbox permissions disappeared overnight. Reported by Kevin from Warehouse.</t>
  </si>
  <si>
    <t>Scanner firmware update broke keyboard wedge mode. Reported by Elizabeth from Operations.</t>
  </si>
  <si>
    <t>ERP purchase order screen timing out for AP team. Reported by Sheila from Finance.</t>
  </si>
  <si>
    <t>Procurement team reports ERP attachments missing. Reported by Dennis from Finance.</t>
  </si>
  <si>
    <t>Password reset loop continues after successful change. Reported by Darrell from HR.</t>
  </si>
  <si>
    <t>Email signatures disappeared for sales team. Reported by Daniel from Sales.</t>
  </si>
  <si>
    <t>Procurement team reports ERP attachments missing. Reported by Angela from Operations.</t>
  </si>
  <si>
    <t>Mailbox forwarding rule recreated after removal. Reported by Joseph from Operations.</t>
  </si>
  <si>
    <t>Barcode labels printing with incorrect dimensions. Reported by Cassandra from Warehouse.</t>
  </si>
  <si>
    <t>Scanner cradle not charging overnight. Reported by Jennifer from Warehouse.</t>
  </si>
  <si>
    <t>New hire missing access to onboarding portal. Reported by James from HR.</t>
  </si>
  <si>
    <t>Service account password expired on integration job. Reported by Cynthia from Finance.</t>
  </si>
  <si>
    <t>Label printer feeds blank stock after maintenance. Reported by Joseph from Warehouse.</t>
  </si>
  <si>
    <t>Suspicious login alert triggered for finance user. Reported by Tracy from HR.</t>
  </si>
  <si>
    <t>Warehouse RF gun drops Wi-Fi in aisle B. Reported by Rebecca from Sales.</t>
  </si>
  <si>
    <t>Email quarantine released but message still missing. Reported by Meghan from Sales.</t>
  </si>
  <si>
    <t>Procurement team reports ERP attachments missing. Reported by Christopher from Operations.</t>
  </si>
  <si>
    <t>Excel add-in blocked by security policy. Reported by Rodney from Finance.</t>
  </si>
  <si>
    <t>BitLocker recovery key prompt appears at boot. Reported by Joshua from Finance.</t>
  </si>
  <si>
    <t>Warehouse RF gun drops Wi-Fi in aisle B. Reported by Adam from Warehouse.</t>
  </si>
  <si>
    <t>Citrix launch freezes on black screen. Reported by Kellie from Warehouse.</t>
  </si>
  <si>
    <t>CEO calendar delegate can no longer edit events. Reported by Dana from HR.</t>
  </si>
  <si>
    <t>ERP purchase order screen timing out for AP team. Reported by Jose from Finance.</t>
  </si>
  <si>
    <t>Print queue stalled for shipping label batch. Reported by Joyce from Warehouse.</t>
  </si>
  <si>
    <t>Email search indexing incomplete after migration. Reported by Andrea from HR.</t>
  </si>
  <si>
    <t>Citrix launch freezes on black screen. Reported by Ronald from HR.</t>
  </si>
  <si>
    <t>Email signatures disappeared for sales team. Reported by Alec from Sales.</t>
  </si>
  <si>
    <t>Warehouse RF gun drops Wi-Fi in aisle B. Reported by Charles from Finance.</t>
  </si>
  <si>
    <t>New contractor needs temporary access to WMS. Reported by Nicole from Finance.</t>
  </si>
  <si>
    <t>Barcode labels printing with incorrect dimensions. Reported by Rebecca from Operations.</t>
  </si>
  <si>
    <t>Scanner cradle not charging overnight. Reported by Amy from Sales.</t>
  </si>
  <si>
    <t>Suspicious login alert triggered for finance user. Reported by Mary from HR.</t>
  </si>
  <si>
    <t>ERP role request approved but not applied. Reported by Brandi from Operations.</t>
  </si>
  <si>
    <t>Slack notifications delayed for customer support queue. Reported by Earl from Finance.</t>
  </si>
  <si>
    <t>Teams channels inaccessible during tenant incident. Reported by David from Sales.</t>
  </si>
  <si>
    <t>Intune enrollment stuck on compliance evaluation. Reported by Kyle from Operations.</t>
  </si>
  <si>
    <t>Docking station no longer drives dual monitors. Reported by Rachel from Finance.</t>
  </si>
  <si>
    <t>MFA push not arriving on replacement phone. Reported by Laura from Sales.</t>
  </si>
  <si>
    <t>Docking station no longer drives dual monitors. Reported by Michelle from Warehouse.</t>
  </si>
  <si>
    <t>Slack notifications delayed for customer support queue. Reported by Rachel from Finance.</t>
  </si>
  <si>
    <t>Barcode labels printing with incorrect dimensions. Reported by Jason from Sales.</t>
  </si>
  <si>
    <t>Conference room display shows no HDMI signal. Reported by John from Sales.</t>
  </si>
  <si>
    <t>Laptop blue-screened during payroll export. Reported by Curtis from Warehouse.</t>
  </si>
  <si>
    <t>Cannot sign in to Okta after password reset. Reported by Kimberly from Sales.</t>
  </si>
  <si>
    <t>Spam burst hit shared support inbox this morning. Reported by Nicole from Finance.</t>
  </si>
  <si>
    <t>Label printer feeds blank stock after maintenance. Reported by Richard from Operations.</t>
  </si>
  <si>
    <t>SSO certificate warning shown on benefits portal. Reported by Christine from HR.</t>
  </si>
  <si>
    <t>Outlook keeps prompting for password on Mac. Reported by Eric from HR.</t>
  </si>
  <si>
    <t>Password reset loop continues after successful change. Reported by Sarah from Operations.</t>
  </si>
  <si>
    <t>BitLocker recovery key prompt appears at boot. Reported by Michelle from Warehouse.</t>
  </si>
  <si>
    <t>Conditional access policy locked out break-glass account. Reported by Theresa from Warehouse.</t>
  </si>
  <si>
    <t>Mailbox forwarding rule recreated after removal. Reported by Lisa from Warehouse.</t>
  </si>
  <si>
    <t>Excel add-in blocked by security policy. Reported by Nicole from Finance.</t>
  </si>
  <si>
    <t>Email quarantine released but message still missing. Reported by Angel from Operations.</t>
  </si>
  <si>
    <t>Teams meeting room camera flickers after restart. Reported by Jill from Sales.</t>
  </si>
  <si>
    <t>Outlook keeps prompting for password on Mac. Reported by Martin from Sales.</t>
  </si>
  <si>
    <t>Outlook keeps prompting for password on Mac. Reported by Sarah from Finance.</t>
  </si>
  <si>
    <t>Print queue stalled for shipping label batch. Reported by Leah from Sales.</t>
  </si>
  <si>
    <t>Excel add-in blocked by security policy. Reported by Michelle from Sales.</t>
  </si>
  <si>
    <t>Customer portal SSO redirects to blank page. Reported by Lisa from Sales.</t>
  </si>
  <si>
    <t>Cannot sign in to Okta after password reset. Reported by Joseph from Sales.</t>
  </si>
  <si>
    <t>Single sign-on to HRIS returns invalid relay state. Reported by Kristin from HR.</t>
  </si>
  <si>
    <t>Service account password expired on integration job. Reported by Daniel from HR.</t>
  </si>
  <si>
    <t>Docking station no longer drives dual monitors. Reported by Monica from HR.</t>
  </si>
  <si>
    <t>Teams meeting room camera flickers after restart. Reported by Michele from Warehouse.</t>
  </si>
  <si>
    <t>Intune enrollment stuck on compliance evaluation. Reported by Jeffrey from Finance.</t>
  </si>
  <si>
    <t>Spam burst hit shared support inbox this morning. Reported by Lisa from Operations.</t>
  </si>
  <si>
    <t>Service account password expired on integration job. Reported by Steven from Warehouse.</t>
  </si>
  <si>
    <t>Password reset loop continues after successful change. Reported by Kevin from HR.</t>
  </si>
  <si>
    <t>Service account password expired on integration job. Reported by Laura from Finance.</t>
  </si>
  <si>
    <t>Shared mailbox permissions disappeared overnight. Reported by Jeremy from Sales.</t>
  </si>
  <si>
    <t>Mailbox forwarding rule recreated after removal. Reported by Andrew from Warehouse.</t>
  </si>
  <si>
    <t>VPN disconnects every 15 minutes on hotel Wi-Fi. Reported by James from Sales.</t>
  </si>
  <si>
    <t>Teams channels inaccessible during tenant incident. Reported by Mark from Warehouse.</t>
  </si>
  <si>
    <t>Citrix launch freezes on black screen. Reported by Michelle from Operations.</t>
  </si>
  <si>
    <t>Email signatures disappeared for sales team. Reported by Tammy from Finance.</t>
  </si>
  <si>
    <t>User cannot map shared drive from new laptop. Reported by Joshua from Sales.</t>
  </si>
  <si>
    <t>Warehouse tablet battery draining within one shift. Reported by Darlene from HR.</t>
  </si>
  <si>
    <t>Warehouse scanner will not sync picks to WMS. Reported by Ricardo from Warehouse.</t>
  </si>
  <si>
    <t>Cannot sign in to Okta after password reset. Reported by Tina from HR.</t>
  </si>
  <si>
    <t>Distribution center users cannot reach file server. Reported by Amanda from Operations.</t>
  </si>
  <si>
    <t>Cannot sign in to Okta after password reset. Reported by Sheila from Warehouse.</t>
  </si>
  <si>
    <t>Mailbox forwarding rule recreated after removal. Reported by Darrell from Finance.</t>
  </si>
  <si>
    <t>Conditional access policy locked out break-glass account. Reported by Tara from Finance.</t>
  </si>
  <si>
    <t>New contractor needs temporary access to WMS. Reported by Gregory from HR.</t>
  </si>
  <si>
    <t>New contractor needs temporary access to WMS. Reported by Sydney from HR.</t>
  </si>
  <si>
    <t>Printer on dock 4 is stuck in offline state. Reported by Joseph from Warehouse.</t>
  </si>
  <si>
    <t>Spam burst hit shared support inbox this morning. Reported by Daniel from HR.</t>
  </si>
  <si>
    <t>Scanner firmware update broke keyboard wedge mode. Reported by Ryan from Operations.</t>
  </si>
  <si>
    <t>Citrix launch freezes on black screen. Reported by Jessica from Operations.</t>
  </si>
  <si>
    <t>Teams meeting room camera flickers after restart. Reported by Lee from Sales.</t>
  </si>
  <si>
    <t>Docking station no longer drives dual monitors. Reported by Catherine from Sales.</t>
  </si>
  <si>
    <t>Barcode labels printing with incorrect dimensions. Reported by William from Warehouse.</t>
  </si>
  <si>
    <t>Sales laptop webcam missing from device manager. Reported by Paul from HR.</t>
  </si>
  <si>
    <t>Payroll batch job missed scheduled overnight window. Reported by Barbara from Warehouse.</t>
  </si>
  <si>
    <t>Finance cannot export month-end AP aging report. Reported by Jonathan from Operations.</t>
  </si>
  <si>
    <t>Conditional access policy locked out break-glass account. Reported by Jeanne from Sales.</t>
  </si>
  <si>
    <t>VPN client update failed with rollback error. Reported by Aaron from Sales.</t>
  </si>
  <si>
    <t>Mailbox forwarding rule recreated after removal. Reported by Sara from Finance.</t>
  </si>
  <si>
    <t>Barcode labels printing with incorrect dimensions. Reported by Amanda from Warehouse.</t>
  </si>
  <si>
    <t>Conference room display shows no HDMI signal. Reported by Jennifer from HR.</t>
  </si>
  <si>
    <t>Scanner cradle not charging overnight. Reported by Judy from Finance.</t>
  </si>
  <si>
    <t>Warehouse scanner will not sync picks to WMS. Reported by Emily from Warehouse.</t>
  </si>
  <si>
    <t>Mailbox forwarding rule recreated after removal. Reported by Michael from Finance.</t>
  </si>
  <si>
    <t>Outlook keeps prompting for password on Mac. Reported by Chad from HR.</t>
  </si>
  <si>
    <t>Single sign-on to HRIS returns invalid relay state. Reported by Elizabeth from HR.</t>
  </si>
  <si>
    <t>Printer on dock 4 is stuck in offline state. Reported by Mark from HR.</t>
  </si>
  <si>
    <t>Barcode labels printing with incorrect dimensions. Reported by Lee from Sales.</t>
  </si>
  <si>
    <t>Procurement team reports ERP attachments missing. Reported by Melanie from Operations.</t>
  </si>
  <si>
    <t>New hire missing access to onboarding portal. Reported by Jennifer from Warehouse.</t>
  </si>
  <si>
    <t>Suspicious login alert triggered for finance user. Reported by Kevin from Finance.</t>
  </si>
  <si>
    <t>VPN outage reported by remote finance staff. Reported by Kyle from Sales.</t>
  </si>
  <si>
    <t>ERP role request approved but not applied. Reported by Ricky from Finance.</t>
  </si>
  <si>
    <t>Mailbox forwarding rule recreated after removal. Reported by Richard from Warehouse.</t>
  </si>
  <si>
    <t>Finance cannot export month-end AP aging report. Reported by Kenneth from Warehouse.</t>
  </si>
  <si>
    <t>Excel add-in blocked by security policy. Reported by David from HR.</t>
  </si>
  <si>
    <t>Cannot sign in to Okta after password reset. Reported by Robert from Sales.</t>
  </si>
  <si>
    <t>Barcode labels printing with incorrect dimensions. Reported by Shelby from Operations.</t>
  </si>
  <si>
    <t>Print queue stalled for shipping label batch. Reported by Erica from Operations.</t>
  </si>
  <si>
    <t>Single sign-on to HRIS returns invalid relay state. Reported by Raven from HR.</t>
  </si>
  <si>
    <t>Payroll batch job missed scheduled overnight window. Reported by Christina from Finance.</t>
  </si>
  <si>
    <t>Email quarantine released but message still missing. Reported by Kevin from Sales.</t>
  </si>
  <si>
    <t>New Zebra printer not visible to shipping station. Reported by Amy from HR.</t>
  </si>
  <si>
    <t>SSO certificate warning shown on benefits portal. Reported by Aaron from HR.</t>
  </si>
  <si>
    <t>Mailbox forwarding rule recreated after removal. Reported by Justin from HR.</t>
  </si>
  <si>
    <t>BitLocker recovery key prompt appears at boot. Reported by Russell from HR.</t>
  </si>
  <si>
    <t>Outlook keeps prompting for password on Mac. Reported by Bethany from Operations.</t>
  </si>
  <si>
    <t>Barcode labels printing with incorrect dimensions. Reported by Diana from Sales.</t>
  </si>
  <si>
    <t>Service account password expired on integration job. Reported by Steven from Sales.</t>
  </si>
  <si>
    <t>ERP role request approved but not applied. Reported by Scott from Finance.</t>
  </si>
  <si>
    <t>Procurement team reports ERP attachments missing. Reported by Jason from Finance.</t>
  </si>
  <si>
    <t>Procurement team reports ERP attachments missing. Reported by Thomas from Warehouse.</t>
  </si>
  <si>
    <t>Warehouse scanner will not sync picks to WMS. Reported by Rachel from Operations.</t>
  </si>
  <si>
    <t>Scanner firmware update broke keyboard wedge mode. Reported by Laura from HR.</t>
  </si>
  <si>
    <t>SSO certificate warning shown on benefits portal. Reported by Gene from HR.</t>
  </si>
  <si>
    <t>Teams meeting room camera flickers after restart. Reported by Christopher from Sales.</t>
  </si>
  <si>
    <t>Outlook keeps prompting for password on Mac. Reported by Zachary from Operations.</t>
  </si>
  <si>
    <t>Shared mailbox permissions disappeared overnight. Reported by Cynthia from Sales.</t>
  </si>
  <si>
    <t>Spam burst hit shared support inbox this morning. Reported by Matthew from Warehouse.</t>
  </si>
  <si>
    <t>SSO certificate warning shown on benefits portal. Reported by Loretta from Finance.</t>
  </si>
  <si>
    <t>Mailbox forwarding rule recreated after removal. Reported by Karen from Warehouse.</t>
  </si>
  <si>
    <t>Voicemail transcription unavailable in mobile app. Reported by Emily from Finance.</t>
  </si>
  <si>
    <t>Mailbox forwarding rule recreated after removal. Reported by Jeffrey from Finance.</t>
  </si>
  <si>
    <t>Teams channels inaccessible during tenant incident. Reported by James from Finance.</t>
  </si>
  <si>
    <t>Scanner cradle not charging overnight. Reported by Andrew from Operations.</t>
  </si>
  <si>
    <t>Scanner firmware update broke keyboard wedge mode. Reported by John from Sales.</t>
  </si>
  <si>
    <t>Service account password expired on integration job. Reported by Thomas from Operations.</t>
  </si>
  <si>
    <t>Voicemail transcription unavailable in mobile app. Reported by Melissa from HR.</t>
  </si>
  <si>
    <t>M365 outage causing login failures across offices. Reported by Charles from Operations.</t>
  </si>
  <si>
    <t>VPN client update failed with rollback error. Reported by Robert from Sales.</t>
  </si>
  <si>
    <t>Slack notifications delayed for customer support queue. Reported by Crystal from Warehouse.</t>
  </si>
  <si>
    <t>Label printer feeds blank stock after maintenance. Reported by James from Operations.</t>
  </si>
  <si>
    <t>Email signatures disappeared for sales team. Reported by Heather from Operations.</t>
  </si>
  <si>
    <t>Single sign-on to HRIS returns invalid relay state. Reported by Troy from Operations.</t>
  </si>
  <si>
    <t>Procurement team reports ERP attachments missing. Reported by John from Operations.</t>
  </si>
  <si>
    <t>Teams channels inaccessible during tenant incident. Reported by Diana from Sales.</t>
  </si>
  <si>
    <t>Sales laptop webcam missing from device manager. Reported by Adam from HR.</t>
  </si>
  <si>
    <t>MFA push not arriving on replacement phone. Reported by Karen from Operations.</t>
  </si>
  <si>
    <t>Cannot sign in to Okta after password reset. Reported by Kayla from Warehouse.</t>
  </si>
  <si>
    <t>Slack notifications delayed for customer support queue. Reported by Daniel from Warehouse.</t>
  </si>
  <si>
    <t>Spam burst hit shared support inbox this morning. Reported by Ronald from Warehouse.</t>
  </si>
  <si>
    <t>User cannot map shared drive from new laptop. Reported by Gregory from Finance.</t>
  </si>
  <si>
    <t>Spam burst hit shared support inbox this morning. Reported by Susan from Operations.</t>
  </si>
  <si>
    <t>Warehouse RF gun drops Wi-Fi in aisle B. Reported by April from Warehouse.</t>
  </si>
  <si>
    <t>Phone soft client cannot register after ISP change. Reported by Brent from Finance.</t>
  </si>
  <si>
    <t>Suspicious login alert triggered for finance user. Reported by John from Sales.</t>
  </si>
  <si>
    <t>VPN fails only for users in Phoenix office. Reported by Melinda from Finance.</t>
  </si>
  <si>
    <t>Power BI refresh failing after service account rotation. Reported by Stephen from Sales.</t>
  </si>
  <si>
    <t>Warehouse scanner will not sync picks to WMS. Reported by Laurie from HR.</t>
  </si>
  <si>
    <t>Mailbox forwarding rule recreated after removal. Reported by Elizabeth from Finance.</t>
  </si>
  <si>
    <t>Suspicious login alert triggered for finance user. Reported by Vanessa from Operations.</t>
  </si>
  <si>
    <t>Suspicious login alert triggered for finance user. Reported by Caitlin from Operations.</t>
  </si>
  <si>
    <t>Mailbox forwarding rule recreated after removal. Reported by Stephanie from HR.</t>
  </si>
  <si>
    <t>VPN client update failed with rollback error. Reported by Patricia from HR.</t>
  </si>
  <si>
    <t>Laptop blue-screened during payroll export. Reported by Cheyenne from Warehouse.</t>
  </si>
  <si>
    <t>Cannot sign in to Okta after password reset. Reported by Jennifer from HR.</t>
  </si>
  <si>
    <t>Email quarantine released but message still missing. Reported by William from Operations.</t>
  </si>
  <si>
    <t>Password reset loop continues after successful change. Reported by Maria from Finance.</t>
  </si>
  <si>
    <t>Email search indexing incomplete after migration. Reported by Amy from HR.</t>
  </si>
  <si>
    <t>Citrix launch freezes on black screen. Reported by Phyllis from Finance.</t>
  </si>
  <si>
    <t>Printer on dock 4 is stuck in offline state. Reported by Julia from Warehouse.</t>
  </si>
  <si>
    <t>Warehouse scanner will not sync picks to WMS. Reported by Thomas from Operations.</t>
  </si>
  <si>
    <t>Email quarantine released but message still missing. Reported by Jonathon from HR.</t>
  </si>
  <si>
    <t>Teams meeting room camera flickers after restart. Reported by John from HR.</t>
  </si>
  <si>
    <t>Citrix launch freezes on black screen. Reported by Dana from HR.</t>
  </si>
  <si>
    <t>Warehouse tablet battery draining within one shift. Reported by Katie from HR.</t>
  </si>
  <si>
    <t>Shared mailbox permissions disappeared overnight. Reported by Adrienne from Sales.</t>
  </si>
  <si>
    <t>Outlook keeps prompting for password on Mac. Reported by Courtney from Operations.</t>
  </si>
  <si>
    <t>Intune enrollment stuck on compliance evaluation. Reported by Joshua from HR.</t>
  </si>
  <si>
    <t>Teams calls dropping audio after two minutes. Reported by Chris from Finance.</t>
  </si>
  <si>
    <t>Conditional access policy locked out break-glass account. Reported by Justin from Operations.</t>
  </si>
  <si>
    <t>Teams calls dropping audio after two minutes. Reported by Joseph from Sales.</t>
  </si>
  <si>
    <t>Teams meeting room camera flickers after restart. Reported by Luis from HR.</t>
  </si>
  <si>
    <t>BitLocker recovery key prompt appears at boot. Reported by Amber from Sales.</t>
  </si>
  <si>
    <t>Warehouse scanner will not sync picks to WMS. Reported by Devon from HR.</t>
  </si>
  <si>
    <t>VPN client update failed with rollback error. Reported by Jesse from Finance.</t>
  </si>
  <si>
    <t>New contractor needs temporary access to WMS. Reported by Heather from Operations.</t>
  </si>
  <si>
    <t>New hire missing access to onboarding portal. Reported by Jasmine from Sales.</t>
  </si>
  <si>
    <t>Password reset loop continues after successful change. Reported by Caleb from HR.</t>
  </si>
  <si>
    <t>Excel add-in blocked by security policy. Reported by Rick from Sales.</t>
  </si>
  <si>
    <t>Teams calls dropping audio after two minutes. Reported by Amy from Sales.</t>
  </si>
  <si>
    <t>Payroll batch job missed scheduled overnight window. Reported by Robert from Operations.</t>
  </si>
  <si>
    <t>M365 outage causing login failures across offices. Reported by Jamie from Sales.</t>
  </si>
  <si>
    <t>Teams channels inaccessible during tenant incident. Reported by Robert from Sales.</t>
  </si>
  <si>
    <t>New hire missing access to onboarding portal. Reported by Rebecca from Warehouse.</t>
  </si>
  <si>
    <t>Single sign-on to HRIS returns invalid relay state. Reported by Brandy from Sales.</t>
  </si>
  <si>
    <t>Email signatures disappeared for sales team. Reported by Heather from HR.</t>
  </si>
  <si>
    <t>Power BI refresh failing after service account rotation. Reported by Melissa from Finance.</t>
  </si>
  <si>
    <t>User cannot map shared drive from new laptop. Reported by Kathy from HR.</t>
  </si>
  <si>
    <t>Scanner firmware update broke keyboard wedge mode. Reported by Omar from Sales.</t>
  </si>
  <si>
    <t>Intune enrollment stuck on compliance evaluation. Reported by Adam from HR.</t>
  </si>
  <si>
    <t>ERP purchase order screen timing out for AP team. Reported by Michael from Sales.</t>
  </si>
  <si>
    <t>Phone soft client cannot register after ISP change. Reported by Karen from Warehouse.</t>
  </si>
  <si>
    <t>Customer portal SSO redirects to blank page. Reported by Melissa from Warehouse.</t>
  </si>
  <si>
    <t>Conference room display shows no HDMI signal. Reported by Stephanie from Warehouse.</t>
  </si>
  <si>
    <t>Single sign-on to HRIS returns invalid relay state. Reported by Robert from HR.</t>
  </si>
  <si>
    <t>Intune enrollment stuck on compliance evaluation. Reported by Julie from Sales.</t>
  </si>
  <si>
    <t>Intune enrollment stuck on compliance evaluation. Reported by Amy from Operations.</t>
  </si>
  <si>
    <t>MFA push not arriving on replacement phone. Reported by Carrie from Warehouse.</t>
  </si>
  <si>
    <t>Single sign-on to HRIS returns invalid relay state. Reported by Jeffrey from Finance.</t>
  </si>
  <si>
    <t>Procurement team reports ERP attachments missing. Reported by Jeffrey from Operations.</t>
  </si>
  <si>
    <t>Email signatures disappeared for sales team. Reported by Ryan from Finance.</t>
  </si>
  <si>
    <t>Distribution center users cannot reach file server. Reported by Anthony from Finance.</t>
  </si>
  <si>
    <t>Scanner firmware update broke keyboard wedge mode. Reported by Matthew from HR.</t>
  </si>
  <si>
    <t>Excel add-in blocked by security policy. Reported by Erin from Finance.</t>
  </si>
  <si>
    <t>Print queue stalled for shipping label batch. Reported by Richard from Finance.</t>
  </si>
  <si>
    <t>Payroll batch job missed scheduled overnight window. Reported by Frederick from Finance.</t>
  </si>
  <si>
    <t>Warehouse tablet battery draining within one shift. Reported by Tanner from Finance.</t>
  </si>
  <si>
    <t>Procurement team reports ERP attachments missing. Reported by David from Warehouse.</t>
  </si>
  <si>
    <t>Barcode labels printing with incorrect dimensions. Reported by Cindy from Operations.</t>
  </si>
  <si>
    <t>VPN fails only for users in Phoenix office. Reported by Anthony from Finance.</t>
  </si>
  <si>
    <t>User cannot map shared drive from new laptop. Reported by Phillip from Sales.</t>
  </si>
  <si>
    <t>Voicemail transcription unavailable in mobile app. Reported by Anne from Finance.</t>
  </si>
  <si>
    <t>Email quarantine released but message still missing. Reported by Anthony from Operations.</t>
  </si>
  <si>
    <t>Shared mailbox permissions disappeared overnight. Reported by Dawn from Warehouse.</t>
  </si>
  <si>
    <t>VPN fails only for users in Phoenix office. Reported by Derek from Finance.</t>
  </si>
  <si>
    <t>Procurement team reports ERP attachments missing. Reported by Steven from Operations.</t>
  </si>
  <si>
    <t>ERP purchase order screen timing out for AP team. Reported by Brent from Operations.</t>
  </si>
  <si>
    <t>Print queue stalled for shipping label batch. Reported by Nicholas from Operations.</t>
  </si>
  <si>
    <t>Label printer feeds blank stock after maintenance. Reported by Jason from Operations.</t>
  </si>
  <si>
    <t>Warehouse RF gun drops Wi-Fi in aisle B. Reported by Mark from Sales.</t>
  </si>
  <si>
    <t>Email search indexing incomplete after migration. Reported by Kathleen from Warehouse.</t>
  </si>
  <si>
    <t>Finance cannot export month-end AP aging report. Reported by Nicholas from Warehouse.</t>
  </si>
  <si>
    <t>Barcode labels printing with incorrect dimensions. Reported by Karen from Warehouse.</t>
  </si>
  <si>
    <t>Outlook keeps prompting for password on Mac. Reported by Marie from Sales.</t>
  </si>
  <si>
    <t>Conference room display shows no HDMI signal. Reported by Johnny from Finance.</t>
  </si>
  <si>
    <t>ERP purchase order screen timing out for AP team. Reported by Christopher from Finance.</t>
  </si>
  <si>
    <t>Warehouse tablet battery draining within one shift. Reported by Andrew from HR.</t>
  </si>
  <si>
    <t>Single sign-on to HRIS returns invalid relay state. Reported by Amber from Operations.</t>
  </si>
  <si>
    <t>Finance cannot export month-end AP aging report. Reported by Zoe from Finance.</t>
  </si>
  <si>
    <t>MFA push not arriving on replacement phone. Reported by Michael from Warehouse.</t>
  </si>
  <si>
    <t>Service account password expired on integration job. Reported by Debra from Operations.</t>
  </si>
  <si>
    <t>New hire missing access to onboarding portal. Reported by Kimberly from Operations.</t>
  </si>
  <si>
    <t>ERP role request approved but not applied. Reported by Denise from Warehouse.</t>
  </si>
  <si>
    <t>Teams meeting room camera flickers after restart. Reported by Karen from Operations.</t>
  </si>
  <si>
    <t>Power BI refresh failing after service account rotation. Reported by Stefanie from HR.</t>
  </si>
  <si>
    <t>Teams calls dropping audio after two minutes. Reported by Andrew from Operations.</t>
  </si>
  <si>
    <t>Distribution center users cannot reach file server. Reported by Elijah from Finance.</t>
  </si>
  <si>
    <t>Excel add-in blocked by security policy. Reported by David from Warehouse.</t>
  </si>
  <si>
    <t>Citrix launch freezes on black screen. Reported by Elizabeth from HR.</t>
  </si>
  <si>
    <t>Intune enrollment stuck on compliance evaluation. Reported by Anne from Sales.</t>
  </si>
  <si>
    <t>Spam burst hit shared support inbox this morning. Reported by Jeffery from Sales.</t>
  </si>
  <si>
    <t>Print queue stalled for shipping label batch. Reported by Holly from Operations.</t>
  </si>
  <si>
    <t>Scanner firmware update broke keyboard wedge mode. Reported by Katie from Finance.</t>
  </si>
  <si>
    <t>Finance cannot export month-end AP aging report. Reported by Gary from Operations.</t>
  </si>
  <si>
    <t>Single sign-on to HRIS returns invalid relay state. Reported by Catherine from Operations.</t>
  </si>
  <si>
    <t>Print queue stalled for shipping label batch. Reported by Julie from Sales.</t>
  </si>
  <si>
    <t>Voicemail transcription unavailable in mobile app. Reported by Danny from HR.</t>
  </si>
  <si>
    <t>Service account password expired on integration job. Reported by Lori from Finance.</t>
  </si>
  <si>
    <t>Voicemail transcription unavailable in mobile app. Reported by Tami from HR.</t>
  </si>
  <si>
    <t>Customer portal SSO redirects to blank page. Reported by Daniel from Warehouse.</t>
  </si>
  <si>
    <t>Service account password expired on integration job. Reported by Anthony from Finance.</t>
  </si>
  <si>
    <t>Warehouse tablet battery draining within one shift. Reported by Larry from Sales.</t>
  </si>
  <si>
    <t>VPN fails only for users in Phoenix office. Reported by Erica from HR.</t>
  </si>
  <si>
    <t>VPN client update failed with rollback error. Reported by Susan from Finance.</t>
  </si>
  <si>
    <t>New Zebra printer not visible to shipping station. Reported by Randy from Operations.</t>
  </si>
  <si>
    <t>CEO calendar delegate can no longer edit events. Reported by Jennifer from Finance.</t>
  </si>
  <si>
    <t>Excel add-in blocked by security policy. Reported by Charles from Operations.</t>
  </si>
  <si>
    <t>Teams channels inaccessible during tenant incident. Reported by Hannah from Warehouse.</t>
  </si>
  <si>
    <t>Warehouse tablet battery draining within one shift. Reported by Courtney from Warehouse.</t>
  </si>
  <si>
    <t>Service account password expired on integration job. Reported by Curtis from HR.</t>
  </si>
  <si>
    <t>Mailbox forwarding rule recreated after removal. Reported by Kendra from HR.</t>
  </si>
  <si>
    <t>MFA push not arriving on replacement phone. Reported by Melissa from Sales.</t>
  </si>
  <si>
    <t>Warehouse scanner will not sync picks to WMS. Reported by Caroline from HR.</t>
  </si>
  <si>
    <t>Single sign-on to HRIS returns invalid relay state. Reported by David from Finance.</t>
  </si>
  <si>
    <t>Label printer feeds blank stock after maintenance. Reported by Tonya from Sales.</t>
  </si>
  <si>
    <t>New Zebra printer not visible to shipping station. Reported by Kimberly from Sales.</t>
  </si>
  <si>
    <t>MFA push not arriving on replacement phone. Reported by Michael from HR.</t>
  </si>
  <si>
    <t>Phone soft client cannot register after ISP change. Reported by Ross from HR.</t>
  </si>
  <si>
    <t>Warehouse RF gun drops Wi-Fi in aisle B. Reported by Mitchell from Sales.</t>
  </si>
  <si>
    <t>Warehouse RF gun drops Wi-Fi in aisle B. Reported by William from Finance.</t>
  </si>
  <si>
    <t>Conditional access policy locked out break-glass account. Reported by Matthew from Sales.</t>
  </si>
  <si>
    <t>BitLocker recovery key prompt appears at boot. Reported by Melissa from Warehouse.</t>
  </si>
  <si>
    <t>Docking station no longer drives dual monitors. Reported by Lynn from Warehouse.</t>
  </si>
  <si>
    <t>Finance cannot export month-end AP aging report. Reported by Daniel from Warehouse.</t>
  </si>
  <si>
    <t>Printer on dock 4 is stuck in offline state. Reported by Susan from Warehouse.</t>
  </si>
  <si>
    <t>Voicemail transcription unavailable in mobile app. Reported by Cynthia from HR.</t>
  </si>
  <si>
    <t>Teams meeting room camera flickers after restart. Reported by Maria from HR.</t>
  </si>
  <si>
    <t>Warehouse scanner will not sync picks to WMS. Reported by Jasmine from HR.</t>
  </si>
  <si>
    <t>VPN fails only for users in Phoenix office. Reported by Ryan from HR.</t>
  </si>
  <si>
    <t>New contractor needs temporary access to WMS. Reported by Jessica from Operations.</t>
  </si>
  <si>
    <t>New Zebra printer not visible to shipping station. Reported by Tammy from HR.</t>
  </si>
  <si>
    <t>Email quarantine released but message still missing. Reported by Joseph from Sales.</t>
  </si>
  <si>
    <t>Phone soft client cannot register after ISP change. Reported by Lindsey from Operations.</t>
  </si>
  <si>
    <t>Voicemail transcription unavailable in mobile app. Reported by Amanda from Sales.</t>
  </si>
  <si>
    <t>Service account password expired on integration job. Reported by Timothy from Operations.</t>
  </si>
  <si>
    <t>Shared mailbox permissions disappeared overnight. Reported by Ryan from Operations.</t>
  </si>
  <si>
    <t>Slack notifications delayed for customer support queue. Reported by Jessica from Warehouse.</t>
  </si>
  <si>
    <t>Suspicious login alert triggered for finance user. Reported by Joseph from Warehouse.</t>
  </si>
  <si>
    <t>Shared mailbox permissions disappeared overnight. Reported by Melissa from HR.</t>
  </si>
  <si>
    <t>Conditional access policy locked out break-glass account. Reported by Mariah from HR.</t>
  </si>
  <si>
    <t>Email search indexing incomplete after migration. Reported by Christopher from Warehouse.</t>
  </si>
  <si>
    <t>Scanner cradle not charging overnight. Reported by Nicole from Warehouse.</t>
  </si>
  <si>
    <t>Warehouse tablet battery draining within one shift. Reported by John from Finance.</t>
  </si>
  <si>
    <t>VPN client update failed with rollback error. Reported by Steven from HR.</t>
  </si>
  <si>
    <t>Laptop blue-screened during payroll export. Reported by Cheryl from Warehouse.</t>
  </si>
  <si>
    <t>Docking station no longer drives dual monitors. Reported by Nicholas from HR.</t>
  </si>
  <si>
    <t>VPN disconnects every 15 minutes on hotel Wi-Fi. Reported by Anthony from Operations.</t>
  </si>
  <si>
    <t>Distribution center users cannot reach file server. Reported by Melissa from Operations.</t>
  </si>
  <si>
    <t>Warehouse scanner will not sync picks to WMS. Reported by Hunter from HR.</t>
  </si>
  <si>
    <t>Barcode labels printing with incorrect dimensions. Reported by Jason from Operations.</t>
  </si>
  <si>
    <t>Finance cannot export month-end AP aging report. Reported by Lauren from HR.</t>
  </si>
  <si>
    <t>Finance cannot export month-end AP aging report. Reported by Matthew from Operations.</t>
  </si>
  <si>
    <t>Scanner cradle not charging overnight. Reported by Nicole from Sales.</t>
  </si>
  <si>
    <t>Excel add-in blocked by security policy. Reported by Jacqueline from HR.</t>
  </si>
  <si>
    <t>Power BI refresh failing after service account rotation. Reported by Joshua from Finance.</t>
  </si>
  <si>
    <t>Scanner firmware update broke keyboard wedge mode. Reported by Alejandro from Sales.</t>
  </si>
  <si>
    <t>Mailbox forwarding rule recreated after removal. Reported by Stacy from HR.</t>
  </si>
  <si>
    <t>Docking station no longer drives dual monitors. Reported by Christopher from Finance.</t>
  </si>
  <si>
    <t>Email quarantine released but message still missing. Reported by Jennifer from HR.</t>
  </si>
  <si>
    <t>Printer on dock 4 is stuck in offline state. Reported by Tracy from Warehouse.</t>
  </si>
  <si>
    <t>Mailbox forwarding rule recreated after removal. Reported by Katherine from Operations.</t>
  </si>
  <si>
    <t>Warehouse RF gun drops Wi-Fi in aisle B. Reported by Hannah from Operations.</t>
  </si>
  <si>
    <t>Outlook keeps prompting for password on Mac. Reported by Debbie from HR.</t>
  </si>
  <si>
    <t>New Zebra printer not visible to shipping station. Reported by Travis from Sales.</t>
  </si>
  <si>
    <t>Sales laptop webcam missing from device manager. Reported by Laura from HR.</t>
  </si>
  <si>
    <t>Shared mailbox permissions disappeared overnight. Reported by Christopher from Sales.</t>
  </si>
  <si>
    <t>Scanner firmware update broke keyboard wedge mode. Reported by Jeffrey from Warehouse.</t>
  </si>
  <si>
    <t>Procurement team reports ERP attachments missing. Reported by Heather from Operations.</t>
  </si>
  <si>
    <t>CEO calendar delegate can no longer edit events. Reported by Kevin from Sales.</t>
  </si>
  <si>
    <t>Conditional access policy locked out break-glass account. Reported by Bonnie from Sales.</t>
  </si>
  <si>
    <t>Warehouse RF gun drops Wi-Fi in aisle B. Reported by Thomas from Warehouse.</t>
  </si>
  <si>
    <t>Teams calls dropping audio after two minutes. Reported by Alyssa from Operations.</t>
  </si>
  <si>
    <t>VPN fails only for users in Phoenix office. Reported by Ronald from Finance.</t>
  </si>
  <si>
    <t>Email signatures disappeared for sales team. Reported by Julie from Finance.</t>
  </si>
  <si>
    <t>MFA push not arriving on replacement phone. Reported by Mark from Sales.</t>
  </si>
  <si>
    <t>ERP role request approved but not applied. Reported by Jacqueline from Sales.</t>
  </si>
  <si>
    <t>Mailbox forwarding rule recreated after removal. Reported by Joseph from HR.</t>
  </si>
  <si>
    <t>Email quarantine released but message still missing. Reported by John from Sales.</t>
  </si>
  <si>
    <t>Warehouse scanner will not sync picks to WMS. Reported by David from HR.</t>
  </si>
  <si>
    <t>VPN disconnects every 15 minutes on hotel Wi-Fi. Reported by James from Finance.</t>
  </si>
  <si>
    <t>Teams calls dropping audio after two minutes. Reported by David from Sales.</t>
  </si>
  <si>
    <t>ERP role request approved but not applied. Reported by Amanda from HR.</t>
  </si>
  <si>
    <t>VPN client update failed with rollback error. Reported by Kathleen from Warehouse.</t>
  </si>
  <si>
    <t>VPN outage reported by remote finance staff. Reported by Jacob from Sales.</t>
  </si>
  <si>
    <t>Teams calls dropping audio after two minutes. Reported by Javier from Warehouse.</t>
  </si>
  <si>
    <t>Warehouse RF gun drops Wi-Fi in aisle B. Reported by Todd from Finance.</t>
  </si>
  <si>
    <t>New hire missing access to onboarding portal. Reported by Jenny from Warehouse.</t>
  </si>
  <si>
    <t>Label printer feeds blank stock after maintenance. Reported by Tiffany from Sales.</t>
  </si>
  <si>
    <t>Mailbox forwarding rule recreated after removal. Reported by Alicia from Warehouse.</t>
  </si>
  <si>
    <t>Suspicious login alert triggered for finance user. Reported by Justin from Sales.</t>
  </si>
  <si>
    <t>Intune enrollment stuck on compliance evaluation. Reported by Craig from HR.</t>
  </si>
  <si>
    <t>ERP role request approved but not applied. Reported by James from Sales.</t>
  </si>
  <si>
    <t>Docking station no longer drives dual monitors. Reported by Jeremy from Warehouse.</t>
  </si>
  <si>
    <t>Payroll batch job missed scheduled overnight window. Reported by Harry from HR.</t>
  </si>
  <si>
    <t>Laptop blue-screened during payroll export. Reported by Alexis from Sales.</t>
  </si>
  <si>
    <t>M365 outage causing login failures across offices. Reported by Amanda from HR.</t>
  </si>
  <si>
    <t>Label printer feeds blank stock after maintenance. Reported by Joshua from Sales.</t>
  </si>
  <si>
    <t>VPN client update failed with rollback error. Reported by Terri from Finance.</t>
  </si>
  <si>
    <t>Conference room display shows no HDMI signal. Reported by Angela from HR.</t>
  </si>
  <si>
    <t>Conditional access policy locked out break-glass account. Reported by Heidi from HR.</t>
  </si>
  <si>
    <t>Distribution center users cannot reach file server. Reported by David from Finance.</t>
  </si>
  <si>
    <t>SSO certificate warning shown on benefits portal. Reported by Miranda from Warehouse.</t>
  </si>
  <si>
    <t>Sales laptop webcam missing from device manager. Reported by Travis from HR.</t>
  </si>
  <si>
    <t>BitLocker recovery key prompt appears at boot. Reported by Monique from HR.</t>
  </si>
  <si>
    <t>VPN outage reported by remote finance staff. Reported by Audrey from Operations.</t>
  </si>
  <si>
    <t>Email signatures disappeared for sales team. Reported by Taylor from Finance.</t>
  </si>
  <si>
    <t>Single sign-on to HRIS returns invalid relay state. Reported by Scott from Warehouse.</t>
  </si>
  <si>
    <t>Barcode labels printing with incorrect dimensions. Reported by Jack from Warehouse.</t>
  </si>
  <si>
    <t>Teams calls dropping audio after two minutes. Reported by Brett from Sales.</t>
  </si>
  <si>
    <t>Teams calls dropping audio after two minutes. Reported by Shelley from HR.</t>
  </si>
  <si>
    <t>Email search indexing incomplete after migration. Reported by Tim from Operations.</t>
  </si>
  <si>
    <t>New hire missing access to onboarding portal. Reported by Lynn from Warehouse.</t>
  </si>
  <si>
    <t>Sales laptop webcam missing from device manager. Reported by Richard from HR.</t>
  </si>
  <si>
    <t>Warehouse scanner will not sync picks to WMS. Reported by Charles from Warehouse.</t>
  </si>
  <si>
    <t>Sales laptop webcam missing from device manager. Reported by Crystal from Finance.</t>
  </si>
  <si>
    <t>Suspicious login alert triggered for finance user. Reported by Brian from Warehouse.</t>
  </si>
  <si>
    <t>New Zebra printer not visible to shipping station. Reported by Edward from Operations.</t>
  </si>
  <si>
    <t>Procurement team reports ERP attachments missing. Reported by Anna from Finance.</t>
  </si>
  <si>
    <t>Excel add-in blocked by security policy. Reported by Kevin from Sales.</t>
  </si>
  <si>
    <t>Conference room display shows no HDMI signal. Reported by Victoria from Warehouse.</t>
  </si>
  <si>
    <t>Sales laptop webcam missing from device manager. Reported by David from Sales.</t>
  </si>
  <si>
    <t>Citrix launch freezes on black screen. Reported by Kathy from Finance.</t>
  </si>
  <si>
    <t>Outlook keeps prompting for password on Mac. Reported by Catherine from Warehouse.</t>
  </si>
  <si>
    <t>Warehouse scanner will not sync picks to WMS. Reported by Krystal from Finance.</t>
  </si>
  <si>
    <t>Power BI refresh failing after service account rotation. Reported by Jeremiah from Operations.</t>
  </si>
  <si>
    <t>ERP role request approved but not applied. Reported by Alexandra from Operations.</t>
  </si>
  <si>
    <t>Outlook keeps prompting for password on Mac. Reported by Shannon from Sales.</t>
  </si>
  <si>
    <t>Intune enrollment stuck on compliance evaluation. Reported by Scott from Sales.</t>
  </si>
  <si>
    <t>BitLocker recovery key prompt appears at boot. Reported by Michelle from Operations.</t>
  </si>
  <si>
    <t>Phone soft client cannot register after ISP change. Reported by Veronica from Sales.</t>
  </si>
  <si>
    <t>Email search indexing incomplete after migration. Reported by Kevin from Finance.</t>
  </si>
  <si>
    <t>VPN outage reported by remote finance staff. Reported by Christine from Finance.</t>
  </si>
  <si>
    <t>User cannot map shared drive from new laptop. Reported by Chelsea from Warehouse.</t>
  </si>
  <si>
    <t>Printer on dock 4 is stuck in offline state. Reported by Jody from HR.</t>
  </si>
  <si>
    <t>Laptop blue-screened during payroll export. Reported by Stacey from Operations.</t>
  </si>
  <si>
    <t>Slack notifications delayed for customer support queue. Reported by Jared from Warehouse.</t>
  </si>
  <si>
    <t>Laptop blue-screened during payroll export. Reported by Jason from Sales.</t>
  </si>
  <si>
    <t>Scanner firmware update broke keyboard wedge mode. Reported by Donna from HR.</t>
  </si>
  <si>
    <t>Scanner cradle not charging overnight. Reported by Eric from Finance.</t>
  </si>
  <si>
    <t>Warehouse tablet battery draining within one shift. Reported by Glenn from Operations.</t>
  </si>
  <si>
    <t>Citrix launch freezes on black screen. Reported by Charles from Sales.</t>
  </si>
  <si>
    <t>Scanner cradle not charging overnight. Reported by Aaron from Warehouse.</t>
  </si>
  <si>
    <t>Service account password expired on integration job. Reported by Shannon from HR.</t>
  </si>
  <si>
    <t>ERP purchase order screen timing out for AP team. Reported by Brittney from Warehouse.</t>
  </si>
  <si>
    <t>Service account password expired on integration job. Reported by Kelly from Sales.</t>
  </si>
  <si>
    <t>Warehouse tablet battery draining within one shift. Reported by Jesse from HR.</t>
  </si>
  <si>
    <t>Spam burst hit shared support inbox this morning. Reported by Jasmine from HR.</t>
  </si>
  <si>
    <t>Phone soft client cannot register after ISP change. Reported by Jacqueline from Finance.</t>
  </si>
  <si>
    <t>Voicemail transcription unavailable in mobile app. Reported by Shawn from HR.</t>
  </si>
  <si>
    <t>Spam burst hit shared support inbox this morning. Reported by Grace from Sales.</t>
  </si>
  <si>
    <t>Printer on dock 4 is stuck in offline state. Reported by Sandra from Finance.</t>
  </si>
  <si>
    <t>Email search indexing incomplete after migration. Reported by Kristin from Operations.</t>
  </si>
  <si>
    <t>Shared mailbox permissions disappeared overnight. Reported by Colleen from HR.</t>
  </si>
  <si>
    <t>Distribution center users cannot reach file server. Reported by Donna from Finance.</t>
  </si>
  <si>
    <t>New contractor needs temporary access to WMS. Reported by Sarah from Finance.</t>
  </si>
  <si>
    <t>Citrix launch freezes on black screen. Reported by Ronald from Operations.</t>
  </si>
  <si>
    <t>Scanner firmware update broke keyboard wedge mode. Reported by Amy from Warehouse.</t>
  </si>
  <si>
    <t>Printer on dock 4 is stuck in offline state. Reported by Deborah from Sales.</t>
  </si>
  <si>
    <t>VPN fails only for users in Phoenix office. Reported by Rebekah from Operations.</t>
  </si>
  <si>
    <t>User cannot map shared drive from new laptop. Reported by Margaret from Warehouse.</t>
  </si>
  <si>
    <t>Scanner cradle not charging overnight. Reported by Charles from Sales.</t>
  </si>
  <si>
    <t>Service account password expired on integration job. Reported by Gabriel from HR.</t>
  </si>
  <si>
    <t>VPN disconnects every 15 minutes on hotel Wi-Fi. Reported by Kyle from Operations.</t>
  </si>
  <si>
    <t>Email signatures disappeared for sales team. Reported by Kaitlyn from Warehouse.</t>
  </si>
  <si>
    <t>Outlook keeps prompting for password on Mac. Reported by Ashley from Warehouse.</t>
  </si>
  <si>
    <t>Conference room display shows no HDMI signal. Reported by Keith from Warehouse.</t>
  </si>
  <si>
    <t>M365 outage causing login failures across offices. Reported by David from Finance.</t>
  </si>
  <si>
    <t>MFA push not arriving on replacement phone. Reported by Haley from HR.</t>
  </si>
  <si>
    <t>Teams calls dropping audio after two minutes. Reported by Holly from Warehouse.</t>
  </si>
  <si>
    <t>Power BI refresh failing after service account rotation. Reported by Sherri from Warehouse.</t>
  </si>
  <si>
    <t>Warehouse tablet battery draining within one shift. Reported by Vincent from Operations.</t>
  </si>
  <si>
    <t>Slack notifications delayed for customer support queue. Reported by Troy from Sales.</t>
  </si>
  <si>
    <t>Teams channels inaccessible during tenant incident. Reported by Christopher from Sales.</t>
  </si>
  <si>
    <t>CEO calendar delegate can no longer edit events. Reported by Bill from Sales.</t>
  </si>
  <si>
    <t>Intune enrollment stuck on compliance evaluation. Reported by Ryan from HR.</t>
  </si>
  <si>
    <t>Barcode labels printing with incorrect dimensions. Reported by Marcus from HR.</t>
  </si>
  <si>
    <t>Sales laptop webcam missing from device manager. Reported by John from Finance.</t>
  </si>
  <si>
    <t>Warehouse RF gun drops Wi-Fi in aisle B. Reported by Christopher from Operations.</t>
  </si>
  <si>
    <t>Intune enrollment stuck on compliance evaluation. Reported by Suzanne from Sales.</t>
  </si>
  <si>
    <t>Shared mailbox permissions disappeared overnight. Reported by Mary from Operations.</t>
  </si>
  <si>
    <t>New hire missing access to onboarding portal. Reported by Barbara from Warehouse.</t>
  </si>
  <si>
    <t>Distribution center users cannot reach file server. Reported by Stephanie from HR.</t>
  </si>
  <si>
    <t>Service account password expired on integration job. Reported by Yvonne from Sales.</t>
  </si>
  <si>
    <t>Payroll batch job missed scheduled overnight window. Reported by Emily from HR.</t>
  </si>
  <si>
    <t>Warehouse tablet battery draining within one shift. Reported by Billy from Finance.</t>
  </si>
  <si>
    <t>Email search indexing incomplete after migration. Reported by Katelyn from HR.</t>
  </si>
  <si>
    <t>Shared mailbox permissions disappeared overnight. Reported by Thomas from HR.</t>
  </si>
  <si>
    <t>Suspicious login alert triggered for finance user. Reported by Denise from Finance.</t>
  </si>
  <si>
    <t>Voicemail transcription unavailable in mobile app. Reported by Sabrina from Operations.</t>
  </si>
  <si>
    <t>Password reset loop continues after successful change. Reported by Howard from Finance.</t>
  </si>
  <si>
    <t>Label printer feeds blank stock after maintenance. Reported by Brenda from Finance.</t>
  </si>
  <si>
    <t>Citrix launch freezes on black screen. Reported by Cynthia from Warehouse.</t>
  </si>
  <si>
    <t>Single sign-on to HRIS returns invalid relay state. Reported by Travis from Finance.</t>
  </si>
  <si>
    <t>Outlook keeps prompting for password on Mac. Reported by Christopher from HR.</t>
  </si>
  <si>
    <t>Slack notifications delayed for customer support queue. Reported by Michael from Sales.</t>
  </si>
  <si>
    <t>Password reset loop continues after successful change. Reported by Mathew from HR.</t>
  </si>
  <si>
    <t>ERP role request approved but not applied. Reported by Elizabeth from Operations.</t>
  </si>
  <si>
    <t>VPN client update failed with rollback error. Reported by Mia from Sales.</t>
  </si>
  <si>
    <t>Citrix launch freezes on black screen. Reported by Mark from Warehouse.</t>
  </si>
  <si>
    <t>Scanner cradle not charging overnight. Reported by Heather from Sales.</t>
  </si>
  <si>
    <t>Customer portal SSO redirects to blank page. Reported by Keith from HR.</t>
  </si>
  <si>
    <t>Customer portal SSO redirects to blank page. Reported by Sierra from HR.</t>
  </si>
  <si>
    <t>Single sign-on to HRIS returns invalid relay state. Reported by Lisa from Finance.</t>
  </si>
  <si>
    <t>Procurement team reports ERP attachments missing. Reported by Andrea from HR.</t>
  </si>
  <si>
    <t>Teams channels inaccessible during tenant incident. Reported by Shawn from Finance.</t>
  </si>
  <si>
    <t>VPN outage reported by remote finance staff. Reported by Leonard from HR.</t>
  </si>
  <si>
    <t>Teams meeting room camera flickers after restart. Reported by Marcus from Sales.</t>
  </si>
  <si>
    <t>Email quarantine released but message still missing. Reported by Tara from Finance.</t>
  </si>
  <si>
    <t>MFA push not arriving on replacement phone. Reported by Richard from Finance.</t>
  </si>
  <si>
    <t>Voicemail transcription unavailable in mobile app. Reported by Xavier from Warehouse.</t>
  </si>
  <si>
    <t>Slack notifications delayed for customer support queue. Reported by Vanessa from HR.</t>
  </si>
  <si>
    <t>Phone soft client cannot register after ISP change. Reported by Diane from Finance.</t>
  </si>
  <si>
    <t>Warehouse scanner will not sync picks to WMS. Reported by Amy from Operations.</t>
  </si>
  <si>
    <t>Teams channels inaccessible during tenant incident. Reported by Jacob from Sales.</t>
  </si>
  <si>
    <t>Outlook keeps prompting for password on Mac. Reported by Michael from Finance.</t>
  </si>
  <si>
    <t>SSO certificate warning shown on benefits portal. Reported by Katherine from HR.</t>
  </si>
  <si>
    <t>Teams meeting room camera flickers after restart. Reported by Colleen from HR.</t>
  </si>
  <si>
    <t>Scanner cradle not charging overnight. Reported by Kathleen from Operations.</t>
  </si>
  <si>
    <t>Barcode labels printing with incorrect dimensions. Reported by James from Operations.</t>
  </si>
  <si>
    <t>Distribution center users cannot reach file server. Reported by Andrea from Sales.</t>
  </si>
  <si>
    <t>Label printer feeds blank stock after maintenance. Reported by Sara from Operations.</t>
  </si>
  <si>
    <t>ERP role request approved but not applied. Reported by Samuel from Sales.</t>
  </si>
  <si>
    <t>Teams calls dropping audio after two minutes. Reported by Helen from Warehouse.</t>
  </si>
  <si>
    <t>Cannot sign in to Okta after password reset. Reported by David from HR.</t>
  </si>
  <si>
    <t>Printer on dock 4 is stuck in offline state. Reported by Teresa from Finance.</t>
  </si>
  <si>
    <t>Laptop blue-screened during payroll export. Reported by Chelsea from Sales.</t>
  </si>
  <si>
    <t>Barcode labels printing with incorrect dimensions. Reported by John from HR.</t>
  </si>
  <si>
    <t>Sales laptop webcam missing from device manager. Reported by Eric from Sales.</t>
  </si>
  <si>
    <t>Distribution center users cannot reach file server. Reported by Andrea from Operations.</t>
  </si>
  <si>
    <t>Teams channels inaccessible during tenant incident. Reported by Andrea from Warehouse.</t>
  </si>
  <si>
    <t>New hire missing access to onboarding portal. Reported by Christopher from Finance.</t>
  </si>
  <si>
    <t>Service account password expired on integration job. Reported by Victoria from HR.</t>
  </si>
  <si>
    <t>Cannot sign in to Okta after password reset. Reported by Robin from Operations.</t>
  </si>
  <si>
    <t>New contractor needs temporary access to WMS. Reported by Steven from Finance.</t>
  </si>
  <si>
    <t>VPN outage reported by remote finance staff. Reported by David from Sales.</t>
  </si>
  <si>
    <t>Phone soft client cannot register after ISP change. Reported by Marilyn from Operations.</t>
  </si>
  <si>
    <t>Warehouse RF gun drops Wi-Fi in aisle B. Reported by Tyrone from Operations.</t>
  </si>
  <si>
    <t>Voicemail transcription unavailable in mobile app. Reported by Jennifer from Operations.</t>
  </si>
  <si>
    <t>Payroll batch job missed scheduled overnight window. Reported by William from Warehouse.</t>
  </si>
  <si>
    <t>M365 outage causing login failures across offices. Reported by Joshua from Finance.</t>
  </si>
  <si>
    <t>MFA push not arriving on replacement phone. Reported by Mary from Operations.</t>
  </si>
  <si>
    <t>Finance cannot export month-end AP aging report. Reported by Tina from Finance.</t>
  </si>
  <si>
    <t>Label printer feeds blank stock after maintenance. Reported by John from Sales.</t>
  </si>
  <si>
    <t>New hire missing access to onboarding portal. Reported by Andrea from Finance.</t>
  </si>
  <si>
    <t>Scanner firmware update broke keyboard wedge mode. Reported by Patrick from HR.</t>
  </si>
  <si>
    <t>Service account password expired on integration job. Reported by Sandra from Sales.</t>
  </si>
  <si>
    <t>Teams channels inaccessible during tenant incident. Reported by William from Operations.</t>
  </si>
  <si>
    <t>Conference room display shows no HDMI signal. Reported by Natasha from Warehouse.</t>
  </si>
  <si>
    <t>Outlook keeps prompting for password on Mac. Reported by Michelle from HR.</t>
  </si>
  <si>
    <t>Warehouse RF gun drops Wi-Fi in aisle B. Reported by Joshua from Finance.</t>
  </si>
  <si>
    <t>Warehouse scanner will not sync picks to WMS. Reported by Kristy from HR.</t>
  </si>
  <si>
    <t>Teams channels inaccessible during tenant incident. Reported by Robert from HR.</t>
  </si>
  <si>
    <t>Scanner firmware update broke keyboard wedge mode. Reported by Sarah from Warehouse.</t>
  </si>
  <si>
    <t>VPN client update failed with rollback error. Reported by William from HR.</t>
  </si>
  <si>
    <t>Warehouse RF gun drops Wi-Fi in aisle B. Reported by Lori from Warehouse.</t>
  </si>
  <si>
    <t>Barcode labels printing with incorrect dimensions. Reported by Justin from HR.</t>
  </si>
  <si>
    <t>Payroll batch job missed scheduled overnight window. Reported by Kenneth from Finance.</t>
  </si>
  <si>
    <t>Password reset loop continues after successful change. Reported by Brenda from Finance.</t>
  </si>
  <si>
    <t>Warehouse RF gun drops Wi-Fi in aisle B. Reported by Yolanda from Sales.</t>
  </si>
  <si>
    <t>Email search indexing incomplete after migration. Reported by Tracy from HR.</t>
  </si>
  <si>
    <t>ERP role request approved but not applied. Reported by Edgar from Operations.</t>
  </si>
  <si>
    <t>Finance cannot export month-end AP aging report. Reported by Amanda from Operations.</t>
  </si>
  <si>
    <t>Intune enrollment stuck on compliance evaluation. Reported by Michael from Sales.</t>
  </si>
  <si>
    <t>Sales laptop webcam missing from device manager. Reported by Andrea from Sales.</t>
  </si>
  <si>
    <t>Intune enrollment stuck on compliance evaluation. Reported by Amy from Finance.</t>
  </si>
  <si>
    <t>Citrix launch freezes on black screen. Reported by Stanley from Operations.</t>
  </si>
  <si>
    <t>Power BI refresh failing after service account rotation. Reported by Marc from Finance.</t>
  </si>
  <si>
    <t>M365 outage causing login failures across offices. Reported by Jacob from Finance.</t>
  </si>
  <si>
    <t>Shared mailbox permissions disappeared overnight. Reported by Heidi from Operations.</t>
  </si>
  <si>
    <t>M365 outage causing login failures across offices. Reported by Ashley from Operations.</t>
  </si>
  <si>
    <t>Shared mailbox permissions disappeared overnight. Reported by Jesus from HR.</t>
  </si>
  <si>
    <t>Print queue stalled for shipping label batch. Reported by Kimberly from Finance.</t>
  </si>
  <si>
    <t>Procurement team reports ERP attachments missing. Reported by Bradley from Sales.</t>
  </si>
  <si>
    <t>Distribution center users cannot reach file server. Reported by Julie from HR.</t>
  </si>
  <si>
    <t>User cannot map shared drive from new laptop. Reported by Janet from Operations.</t>
  </si>
  <si>
    <t>CEO calendar delegate can no longer edit events. Reported by Lisa from Warehouse.</t>
  </si>
  <si>
    <t>Intune enrollment stuck on compliance evaluation. Reported by Paul from Finance.</t>
  </si>
  <si>
    <t>SSO certificate warning shown on benefits portal. Reported by Elizabeth from Warehouse.</t>
  </si>
  <si>
    <t>Slack notifications delayed for customer support queue. Reported by Lori from Finance.</t>
  </si>
  <si>
    <t>Barcode labels printing with incorrect dimensions. Reported by Tina from Operations.</t>
  </si>
  <si>
    <t>Label printer feeds blank stock after maintenance. Reported by Tyler from Warehouse.</t>
  </si>
  <si>
    <t>Email signatures disappeared for sales team. Reported by Benjamin from Operations.</t>
  </si>
  <si>
    <t>Scanner cradle not charging overnight. Reported by Wayne from HR.</t>
  </si>
  <si>
    <t>Phone soft client cannot register after ISP change. Reported by Brittany from Sales.</t>
  </si>
  <si>
    <t>Phone soft client cannot register after ISP change. Reported by Molly from Sales.</t>
  </si>
  <si>
    <t>Citrix launch freezes on black screen. Reported by Morgan from Finance.</t>
  </si>
  <si>
    <t>Conference room display shows no HDMI signal. Reported by Scott from Sales.</t>
  </si>
  <si>
    <t>Cannot sign in to Okta after password reset. Reported by Alicia from Sales.</t>
  </si>
  <si>
    <t>Warehouse RF gun drops Wi-Fi in aisle B. Reported by Stephen from Warehouse.</t>
  </si>
  <si>
    <t>Single sign-on to HRIS returns invalid relay state. Reported by Jennifer from Operations.</t>
  </si>
  <si>
    <t>Conditional access policy locked out break-glass account. Reported by Robert from Operations.</t>
  </si>
  <si>
    <t>ERP purchase order screen timing out for AP team. Reported by Diana from Warehouse.</t>
  </si>
  <si>
    <t>Excel add-in blocked by security policy. Reported by Eric from Sales.</t>
  </si>
  <si>
    <t>Scanner firmware update broke keyboard wedge mode. Reported by Terrance from Sales.</t>
  </si>
  <si>
    <t>BitLocker recovery key prompt appears at boot. Reported by Tanya from Sales.</t>
  </si>
  <si>
    <t>Service account password expired on integration job. Reported by Matthew from Sales.</t>
  </si>
  <si>
    <t>Distribution center users cannot reach file server. Reported by Heather from Operations.</t>
  </si>
  <si>
    <t>VPN fails only for users in Phoenix office. Reported by Debra from Warehouse.</t>
  </si>
  <si>
    <t>VPN outage reported by remote finance staff. Reported by Melissa from Sales.</t>
  </si>
  <si>
    <t>Print queue stalled for shipping label batch. Reported by Melissa from HR.</t>
  </si>
  <si>
    <t>ERP role request approved but not applied. Reported by Michele from Sales.</t>
  </si>
  <si>
    <t>Shared mailbox permissions disappeared overnight. Reported by Norman from Finance.</t>
  </si>
  <si>
    <t>ERP role request approved but not applied. Reported by Levi from HR.</t>
  </si>
  <si>
    <t>New hire missing access to onboarding portal. Reported by Jennifer from Finance.</t>
  </si>
  <si>
    <t>Email signatures disappeared for sales team. Reported by Katherine from Operations.</t>
  </si>
  <si>
    <t>Warehouse RF gun drops Wi-Fi in aisle B. Reported by Monique from Finance.</t>
  </si>
  <si>
    <t>MFA push not arriving on replacement phone. Reported by Barry from Warehouse.</t>
  </si>
  <si>
    <t>Outlook keeps prompting for password on Mac. Reported by Casey from HR.</t>
  </si>
  <si>
    <t>New hire missing access to onboarding portal. Reported by Crystal from Operations.</t>
  </si>
  <si>
    <t>Phone soft client cannot register after ISP change. Reported by Samantha from Operations.</t>
  </si>
  <si>
    <t>Suspicious login alert triggered for finance user. Reported by Wendy from Sales.</t>
  </si>
  <si>
    <t>Single sign-on to HRIS returns invalid relay state. Reported by Julie from HR.</t>
  </si>
  <si>
    <t>Warehouse RF gun drops Wi-Fi in aisle B. Reported by Ryan from Warehouse.</t>
  </si>
  <si>
    <t>Label printer feeds blank stock after maintenance. Reported by Corey from Sales.</t>
  </si>
  <si>
    <t>Intune enrollment stuck on compliance evaluation. Reported by Cynthia from HR.</t>
  </si>
  <si>
    <t>New contractor needs temporary access to WMS. Reported by Monique from Sales.</t>
  </si>
  <si>
    <t>Scanner firmware update broke keyboard wedge mode. Reported by Scott from Operations.</t>
  </si>
  <si>
    <t>Scanner cradle not charging overnight. Reported by Heather from HR.</t>
  </si>
  <si>
    <t>VPN client update failed with rollback error. Reported by Rebecca from Warehouse.</t>
  </si>
  <si>
    <t>Suspicious login alert triggered for finance user. Reported by Brandon from Finance.</t>
  </si>
  <si>
    <t>Suspicious login alert triggered for finance user. Reported by Laura from Finance.</t>
  </si>
  <si>
    <t>Spam burst hit shared support inbox this morning. Reported by Kelly from HR.</t>
  </si>
  <si>
    <t>Warehouse RF gun drops Wi-Fi in aisle B. Reported by Nicholas from Operations.</t>
  </si>
  <si>
    <t>Email signatures disappeared for sales team. Reported by Dustin from Finance.</t>
  </si>
  <si>
    <t>Service account password expired on integration job. Reported by Amanda from Sales.</t>
  </si>
  <si>
    <t>Voicemail transcription unavailable in mobile app. Reported by Ashlee from Operations.</t>
  </si>
  <si>
    <t>Warehouse scanner will not sync picks to WMS. Reported by Laura from Warehouse.</t>
  </si>
  <si>
    <t>Warehouse RF gun drops Wi-Fi in aisle B. Reported by George from HR.</t>
  </si>
  <si>
    <t>Intune enrollment stuck on compliance evaluation. Reported by Christian from Finance.</t>
  </si>
  <si>
    <t>Teams calls dropping audio after two minutes. Reported by Monica from Operations.</t>
  </si>
  <si>
    <t>BitLocker recovery key prompt appears at boot. Reported by Christine from HR.</t>
  </si>
  <si>
    <t>Outlook keeps prompting for password on Mac. Reported by John from Finance.</t>
  </si>
  <si>
    <t>Distribution center users cannot reach file server. Reported by Roberta from HR.</t>
  </si>
  <si>
    <t>Docking station no longer drives dual monitors. Reported by Douglas from Finance.</t>
  </si>
  <si>
    <t>Citrix launch freezes on black screen. Reported by Steven from Operations.</t>
  </si>
  <si>
    <t>Laptop blue-screened during payroll export. Reported by Jonathan from Operations.</t>
  </si>
  <si>
    <t>Mailbox forwarding rule recreated after removal. Reported by Jonathan from Sales.</t>
  </si>
  <si>
    <t>New contractor needs temporary access to WMS. Reported by Albert from Operations.</t>
  </si>
  <si>
    <t>New hire missing access to onboarding portal. Reported by Linda from Finance.</t>
  </si>
  <si>
    <t>Scanner firmware update broke keyboard wedge mode. Reported by Rachel from Sales.</t>
  </si>
  <si>
    <t>Email quarantine released but message still missing. Reported by Erica from Finance.</t>
  </si>
  <si>
    <t>Shared mailbox permissions disappeared overnight. Reported by Eric from Warehouse.</t>
  </si>
  <si>
    <t>MFA push not arriving on replacement phone. Reported by Scott from Warehouse.</t>
  </si>
  <si>
    <t>Email search indexing incomplete after migration. Reported by Michael from HR.</t>
  </si>
  <si>
    <t>Service account password expired on integration job. Reported by Briana from Finance.</t>
  </si>
  <si>
    <t>Conditional access policy locked out break-glass account. Reported by Danielle from Operations.</t>
  </si>
  <si>
    <t>Laptop blue-screened during payroll export. Reported by Roger from Operations.</t>
  </si>
  <si>
    <t>M365 outage causing login failures across offices. Reported by John from Sales.</t>
  </si>
  <si>
    <t>Slack notifications delayed for customer support queue. Reported by Megan from Finance.</t>
  </si>
  <si>
    <t>Excel add-in blocked by security policy. Reported by James from Finance.</t>
  </si>
  <si>
    <t>Email signatures disappeared for sales team. Reported by Paul from Finance.</t>
  </si>
  <si>
    <t>Customer portal SSO redirects to blank page. Reported by Timothy from Operations.</t>
  </si>
  <si>
    <t>Suspicious login alert triggered for finance user. Reported by John from HR.</t>
  </si>
  <si>
    <t>Email signatures disappeared for sales team. Reported by Ashley from HR.</t>
  </si>
  <si>
    <t>ERP role request approved but not applied. Reported by Bailey from Sales.</t>
  </si>
  <si>
    <t>Suspicious login alert triggered for finance user. Reported by Victoria from Finance.</t>
  </si>
  <si>
    <t>Distribution center users cannot reach file server. Reported by Kenneth from Sales.</t>
  </si>
  <si>
    <t>Power BI refresh failing after service account rotation. Reported by Tiffany from Operations.</t>
  </si>
  <si>
    <t>Payroll batch job missed scheduled overnight window. Reported by Dominique from HR.</t>
  </si>
  <si>
    <t>Teams calls dropping audio after two minutes. Reported by Joshua from Operations.</t>
  </si>
  <si>
    <t>MFA push not arriving on replacement phone. Reported by Ashlee from Operations.</t>
  </si>
  <si>
    <t>Sales laptop webcam missing from device manager. Reported by Gina from Finance.</t>
  </si>
  <si>
    <t>CEO calendar delegate can no longer edit events. Reported by Julie from Warehouse.</t>
  </si>
  <si>
    <t>Shared mailbox permissions disappeared overnight. Reported by Brandon from Sales.</t>
  </si>
  <si>
    <t>Suspicious login alert triggered for finance user. Reported by Catherine from Finance.</t>
  </si>
  <si>
    <t>Email quarantine released but message still missing. Reported by Tyler from Finance.</t>
  </si>
  <si>
    <t>Teams channels inaccessible during tenant incident. Reported by Rebecca from HR.</t>
  </si>
  <si>
    <t>CEO calendar delegate can no longer edit events. Reported by Justin from HR.</t>
  </si>
  <si>
    <t>Mailbox forwarding rule recreated after removal. Reported by Lauren from Operations.</t>
  </si>
  <si>
    <t>ERP role request approved but not applied. Reported by Catherine from Warehouse.</t>
  </si>
  <si>
    <t>Intune enrollment stuck on compliance evaluation. Reported by Michael from Operations.</t>
  </si>
  <si>
    <t>Scanner cradle not charging overnight. Reported by Dana from Sales.</t>
  </si>
  <si>
    <t>Teams calls dropping audio after two minutes. Reported by Christine from HR.</t>
  </si>
  <si>
    <t>Payroll batch job missed scheduled overnight window. Reported by Erica from Operations.</t>
  </si>
  <si>
    <t>Print queue stalled for shipping label batch. Reported by Jennifer from Sales.</t>
  </si>
  <si>
    <t>Payroll batch job missed scheduled overnight window. Reported by Donna from HR.</t>
  </si>
  <si>
    <t>Distribution center users cannot reach file server. Reported by Mary from HR.</t>
  </si>
  <si>
    <t>Single sign-on to HRIS returns invalid relay state. Reported by Courtney from Operations.</t>
  </si>
  <si>
    <t>Excel add-in blocked by security policy. Reported by Rebecca from Warehouse.</t>
  </si>
  <si>
    <t>Email search indexing incomplete after migration. Reported by Debbie from Operations.</t>
  </si>
  <si>
    <t>Conference room display shows no HDMI signal. Reported by Kyle from Operations.</t>
  </si>
  <si>
    <t>Email signatures disappeared for sales team. Reported by Scott from Warehouse.</t>
  </si>
  <si>
    <t>New contractor needs temporary access to WMS. Reported by Bethany from Warehouse.</t>
  </si>
  <si>
    <t>Slack notifications delayed for customer support queue. Reported by Jessica from Finance.</t>
  </si>
  <si>
    <t>VPN disconnects every 15 minutes on hotel Wi-Fi. Reported by Christopher from Finance.</t>
  </si>
  <si>
    <t>Single sign-on to HRIS returns invalid relay state. Reported by Kenneth from Operations.</t>
  </si>
  <si>
    <t>Password reset loop continues after successful change. Reported by Julie from HR.</t>
  </si>
  <si>
    <t>Warehouse RF gun drops Wi-Fi in aisle B. Reported by Gregory from Operations.</t>
  </si>
  <si>
    <t>Payroll batch job missed scheduled overnight window. Reported by David from HR.</t>
  </si>
  <si>
    <t>Citrix launch freezes on black screen. Reported by Amber from Operations.</t>
  </si>
  <si>
    <t>Customer portal SSO redirects to blank page. Reported by Teresa from HR.</t>
  </si>
  <si>
    <t>Outlook keeps prompting for password on Mac. Reported by Alyssa from Sales.</t>
  </si>
  <si>
    <t>Finance cannot export month-end AP aging report. Reported by Robin from HR.</t>
  </si>
  <si>
    <t>Voicemail transcription unavailable in mobile app. Reported by Maria from Finance.</t>
  </si>
  <si>
    <t>VPN outage reported by remote finance staff. Reported by Jonathan from Sales.</t>
  </si>
  <si>
    <t>Label printer feeds blank stock after maintenance. Reported by Makayla from HR.</t>
  </si>
  <si>
    <t>VPN client update failed with rollback error. Reported by Timothy from Operations.</t>
  </si>
  <si>
    <t>Teams meeting room camera flickers after restart. Reported by Lindsay from Sales.</t>
  </si>
  <si>
    <t>Warehouse RF gun drops Wi-Fi in aisle B. Reported by Julie from Finance.</t>
  </si>
  <si>
    <t>SSO certificate warning shown on benefits portal. Reported by Matthew from Sales.</t>
  </si>
  <si>
    <t>New hire missing access to onboarding portal. Reported by Darius from Operations.</t>
  </si>
  <si>
    <t>Distribution center users cannot reach file server. Reported by Sydney from Operations.</t>
  </si>
  <si>
    <t>ERP purchase order screen timing out for AP team. Reported by Donald from HR.</t>
  </si>
  <si>
    <t>Teams calls dropping audio after two minutes. Reported by Tammy from HR.</t>
  </si>
  <si>
    <t>Scanner cradle not charging overnight. Reported by Michelle from Operations.</t>
  </si>
  <si>
    <t>Outlook keeps prompting for password on Mac. Reported by Jennifer from Warehouse.</t>
  </si>
  <si>
    <t>Spam burst hit shared support inbox this morning. Reported by Tina from Operations.</t>
  </si>
  <si>
    <t>Mailbox forwarding rule recreated after removal. Reported by Tammy from Sales.</t>
  </si>
  <si>
    <t>New contractor needs temporary access to WMS. Reported by Linda from Finance.</t>
  </si>
  <si>
    <t>Docking station no longer drives dual monitors. Reported by Michael from Warehouse.</t>
  </si>
  <si>
    <t>Payroll batch job missed scheduled overnight window. Reported by Krystal from Finance.</t>
  </si>
  <si>
    <t>Docking station no longer drives dual monitors. Reported by Alexander from HR.</t>
  </si>
  <si>
    <t>Finance cannot export month-end AP aging report. Reported by Amanda from HR.</t>
  </si>
  <si>
    <t>Spam burst hit shared support inbox this morning. Reported by Shawn from Operations.</t>
  </si>
  <si>
    <t>Shared mailbox permissions disappeared overnight. Reported by Emily from Warehouse.</t>
  </si>
  <si>
    <t>ERP purchase order screen timing out for AP team. Reported by Emily from Operations.</t>
  </si>
  <si>
    <t>VPN disconnects every 15 minutes on hotel Wi-Fi. Reported by Brenda from Warehouse.</t>
  </si>
  <si>
    <t>Single sign-on to HRIS returns invalid relay state. Reported by Lynn from Sales.</t>
  </si>
  <si>
    <t>Suspicious login alert triggered for finance user. Reported by Shelby from Sales.</t>
  </si>
  <si>
    <t>Teams calls dropping audio after two minutes. Reported by Daniel from Operations.</t>
  </si>
  <si>
    <t>VPN client update failed with rollback error. Reported by Jesus from Finance.</t>
  </si>
  <si>
    <t>Phone soft client cannot register after ISP change. Reported by Angel from Operations.</t>
  </si>
  <si>
    <t>VPN client update failed with rollback error. Reported by Nicole from Finance.</t>
  </si>
  <si>
    <t>Print queue stalled for shipping label batch. Reported by Anna from Operations.</t>
  </si>
  <si>
    <t>Docking station no longer drives dual monitors. Reported by Rose from Sales.</t>
  </si>
  <si>
    <t>Suspicious login alert triggered for finance user. Reported by Jeffrey from HR.</t>
  </si>
  <si>
    <t>Spam burst hit shared support inbox this morning. Reported by Bryan from Sales.</t>
  </si>
  <si>
    <t>Label printer feeds blank stock after maintenance. Reported by Madison from Warehouse.</t>
  </si>
  <si>
    <t>Email search indexing incomplete after migration. Reported by Regina from Finance.</t>
  </si>
  <si>
    <t>Mailbox forwarding rule recreated after removal. Reported by Kevin from Finance.</t>
  </si>
  <si>
    <t>Laptop blue-screened during payroll export. Reported by Ricky from Warehouse.</t>
  </si>
  <si>
    <t>New hire missing access to onboarding portal. Reported by Donald from Finance.</t>
  </si>
  <si>
    <t>Procurement team reports ERP attachments missing. Reported by Sophia from Sales.</t>
  </si>
  <si>
    <t>Service account password expired on integration job. Reported by Kevin from Warehouse.</t>
  </si>
  <si>
    <t>BitLocker recovery key prompt appears at boot. Reported by Travis from Sales.</t>
  </si>
  <si>
    <t>VPN client update failed with rollback error. Reported by Colton from Sales.</t>
  </si>
  <si>
    <t>Single sign-on to HRIS returns invalid relay state. Reported by Paige from Sales.</t>
  </si>
  <si>
    <t>Distribution center users cannot reach file server. Reported by Derek from Finance.</t>
  </si>
  <si>
    <t>Excel add-in blocked by security policy. Reported by Shawn from Warehouse.</t>
  </si>
  <si>
    <t>Password reset loop continues after successful change. Reported by Ellen from Operations.</t>
  </si>
  <si>
    <t>ERP role request approved but not applied. Reported by Julia from Finance.</t>
  </si>
  <si>
    <t>MFA push not arriving on replacement phone. Reported by Sonya from Warehouse.</t>
  </si>
  <si>
    <t>New hire missing access to onboarding portal. Reported by Robert from Operations.</t>
  </si>
  <si>
    <t>Email search indexing incomplete after migration. Reported by Julia from Operations.</t>
  </si>
  <si>
    <t>Teams channels inaccessible during tenant incident. Reported by Eric from Warehouse.</t>
  </si>
  <si>
    <t>VPN client update failed with rollback error. Reported by Robert from HR.</t>
  </si>
  <si>
    <t>Power BI refresh failing after service account rotation. Reported by Corey from Finance.</t>
  </si>
  <si>
    <t>Distribution center users cannot reach file server. Reported by Tracy from HR.</t>
  </si>
  <si>
    <t>Label printer feeds blank stock after maintenance. Reported by Ricky from Finance.</t>
  </si>
  <si>
    <t>Barcode labels printing with incorrect dimensions. Reported by Stephanie from Warehouse.</t>
  </si>
  <si>
    <t>Teams meeting room camera flickers after restart. Reported by Antonio from Finance.</t>
  </si>
  <si>
    <t>User cannot map shared drive from new laptop. Reported by Mitchell from Warehouse.</t>
  </si>
  <si>
    <t>BitLocker recovery key prompt appears at boot. Reported by Scott from Warehouse.</t>
  </si>
  <si>
    <t>Cannot sign in to Okta after password reset. Reported by Stephanie from Operations.</t>
  </si>
  <si>
    <t>Warehouse scanner will not sync picks to WMS. Reported by Melissa from Finance.</t>
  </si>
  <si>
    <t>it helpdesk ticket analysis</t>
  </si>
  <si>
    <t>total tickets</t>
  </si>
  <si>
    <t xml:space="preserve">RESOLVED TICKETS </t>
  </si>
  <si>
    <t>blank tickets</t>
  </si>
  <si>
    <t>resolved %</t>
  </si>
  <si>
    <t>pending %</t>
  </si>
  <si>
    <t>closed %</t>
  </si>
  <si>
    <t>blank %</t>
  </si>
  <si>
    <t>CATEGORY</t>
  </si>
  <si>
    <t>TICKET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</si>
</sst>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47" fontId="0" fillId="0" borderId="0" xfId="0" applyNumberFormat="1"/>
    <xf numFmtId="46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closed</c:v>
                </c:pt>
                <c:pt idx="1">
                  <c:v>pending</c:v>
                </c:pt>
                <c:pt idx="2">
                  <c:v>resolved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105</c:v>
                </c:pt>
                <c:pt idx="1">
                  <c:v>45</c:v>
                </c:pt>
                <c:pt idx="2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5-48B6-839C-F9E7512C02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004743"/>
        <c:axId val="838006791"/>
      </c:barChart>
      <c:catAx>
        <c:axId val="83800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06791"/>
        <c:crosses val="autoZero"/>
        <c:auto val="1"/>
        <c:lblAlgn val="ctr"/>
        <c:lblOffset val="100"/>
        <c:noMultiLvlLbl val="0"/>
      </c:catAx>
      <c:valAx>
        <c:axId val="83800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0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32</c:v>
                </c:pt>
                <c:pt idx="1">
                  <c:v>143</c:v>
                </c:pt>
                <c:pt idx="2">
                  <c:v>474</c:v>
                </c:pt>
                <c:pt idx="3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9-4492-9A6B-2A1D928F3D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8895751"/>
        <c:axId val="828897799"/>
      </c:barChart>
      <c:catAx>
        <c:axId val="828895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97799"/>
        <c:crosses val="autoZero"/>
        <c:auto val="1"/>
        <c:lblAlgn val="ctr"/>
        <c:lblOffset val="100"/>
        <c:noMultiLvlLbl val="0"/>
      </c:catAx>
      <c:valAx>
        <c:axId val="82889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95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FFC0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TICKET COUNT BY CHANNEL</a:t>
            </a:r>
          </a:p>
        </c:rich>
      </c:tx>
      <c:overlay val="0"/>
      <c:spPr>
        <a:noFill/>
        <a:ln>
          <a:solidFill>
            <a:srgbClr val="2F75B5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FFC000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4823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chat</c:v>
                </c:pt>
                <c:pt idx="1">
                  <c:v>email</c:v>
                </c:pt>
                <c:pt idx="2">
                  <c:v>phone</c:v>
                </c:pt>
                <c:pt idx="3">
                  <c:v>portal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191</c:v>
                </c:pt>
                <c:pt idx="1">
                  <c:v>371</c:v>
                </c:pt>
                <c:pt idx="2">
                  <c:v>145</c:v>
                </c:pt>
                <c:pt idx="3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9-452C-AEF6-54F080BAE1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712007"/>
        <c:axId val="771714055"/>
      </c:barChart>
      <c:catAx>
        <c:axId val="77171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14055"/>
        <c:crosses val="autoZero"/>
        <c:auto val="1"/>
        <c:lblAlgn val="ctr"/>
        <c:lblOffset val="100"/>
        <c:noMultiLvlLbl val="0"/>
      </c:catAx>
      <c:valAx>
        <c:axId val="77171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1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F8F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130</c:v>
                </c:pt>
                <c:pt idx="1">
                  <c:v>136</c:v>
                </c:pt>
                <c:pt idx="2">
                  <c:v>124</c:v>
                </c:pt>
                <c:pt idx="3">
                  <c:v>115</c:v>
                </c:pt>
                <c:pt idx="4">
                  <c:v>116</c:v>
                </c:pt>
                <c:pt idx="5">
                  <c:v>129</c:v>
                </c:pt>
                <c:pt idx="6">
                  <c:v>134</c:v>
                </c:pt>
                <c:pt idx="7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6-4D50-BFEF-77551074CB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7376903"/>
        <c:axId val="936412167"/>
      </c:barChart>
      <c:catAx>
        <c:axId val="88737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12167"/>
        <c:crosses val="autoZero"/>
        <c:auto val="1"/>
        <c:lblAlgn val="ctr"/>
        <c:lblOffset val="100"/>
        <c:noMultiLvlLbl val="0"/>
      </c:catAx>
      <c:valAx>
        <c:axId val="93641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37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 HELPDESK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analysis!$A$5:$A$7</c:f>
              <c:strCache>
                <c:ptCount val="3"/>
                <c:pt idx="0">
                  <c:v>RESOLVED TICKETS </c:v>
                </c:pt>
                <c:pt idx="1">
                  <c:v>pending</c:v>
                </c:pt>
                <c:pt idx="2">
                  <c:v>closed</c:v>
                </c:pt>
              </c:strCache>
            </c:strRef>
          </c:cat>
          <c:val>
            <c:numRef>
              <c:f>analysis!$B$5:$B$7</c:f>
              <c:numCache>
                <c:formatCode>General</c:formatCode>
                <c:ptCount val="3"/>
                <c:pt idx="0">
                  <c:v>794</c:v>
                </c:pt>
                <c:pt idx="1">
                  <c:v>45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7-49F4-93E0-CF9895825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158663"/>
        <c:axId val="189227016"/>
      </c:barChart>
      <c:catAx>
        <c:axId val="192115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7016"/>
        <c:crosses val="autoZero"/>
        <c:auto val="1"/>
        <c:lblAlgn val="ctr"/>
        <c:lblOffset val="100"/>
        <c:noMultiLvlLbl val="0"/>
      </c:catAx>
      <c:valAx>
        <c:axId val="18922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5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analysis!$B$31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analysis!$B$32:$B$39</c:f>
              <c:numCache>
                <c:formatCode>General</c:formatCode>
                <c:ptCount val="8"/>
                <c:pt idx="0">
                  <c:v>130</c:v>
                </c:pt>
                <c:pt idx="1">
                  <c:v>136</c:v>
                </c:pt>
                <c:pt idx="2">
                  <c:v>124</c:v>
                </c:pt>
                <c:pt idx="3">
                  <c:v>115</c:v>
                </c:pt>
                <c:pt idx="4">
                  <c:v>116</c:v>
                </c:pt>
                <c:pt idx="5">
                  <c:v>129</c:v>
                </c:pt>
                <c:pt idx="6">
                  <c:v>134</c:v>
                </c:pt>
                <c:pt idx="7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D-43EE-B1C5-452F97A6CA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1667591"/>
        <c:axId val="1961686535"/>
      </c:barChart>
      <c:catAx>
        <c:axId val="1961667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86535"/>
        <c:crosses val="autoZero"/>
        <c:auto val="1"/>
        <c:lblAlgn val="ctr"/>
        <c:lblOffset val="100"/>
        <c:noMultiLvlLbl val="0"/>
      </c:catAx>
      <c:valAx>
        <c:axId val="196168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6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19050</xdr:rowOff>
    </xdr:from>
    <xdr:to>
      <xdr:col>10</xdr:col>
      <xdr:colOff>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0552F-62A3-23B8-3857-79354E2E8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133350</xdr:rowOff>
    </xdr:from>
    <xdr:to>
      <xdr:col>10</xdr:col>
      <xdr:colOff>133350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54F25-876F-FB5F-94A7-6728521DA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28575</xdr:rowOff>
    </xdr:from>
    <xdr:to>
      <xdr:col>11</xdr:col>
      <xdr:colOff>581025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41C89-140B-163A-DAF9-5CB8E902F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76200</xdr:rowOff>
    </xdr:from>
    <xdr:to>
      <xdr:col>8</xdr:col>
      <xdr:colOff>438150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5BD729-EEF9-2239-F7C0-FFAA31CB2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14</xdr:row>
      <xdr:rowOff>114300</xdr:rowOff>
    </xdr:from>
    <xdr:to>
      <xdr:col>7</xdr:col>
      <xdr:colOff>438150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ACA32-4FA5-157D-536A-638948A1D212}"/>
            </a:ext>
            <a:ext uri="{147F2762-F138-4A5C-976F-8EAC2B608ADB}">
              <a16:predDERef xmlns:a16="http://schemas.microsoft.com/office/drawing/2014/main" pred="{27C7BD4F-7D76-E261-C174-E792C5706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39</xdr:row>
      <xdr:rowOff>152400</xdr:rowOff>
    </xdr:from>
    <xdr:to>
      <xdr:col>7</xdr:col>
      <xdr:colOff>438150</xdr:colOff>
      <xdr:row>54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A2753D-1B73-B4F9-1925-5D2C5B45D3F7}"/>
            </a:ext>
            <a:ext uri="{147F2762-F138-4A5C-976F-8EAC2B608ADB}">
              <a16:predDERef xmlns:a16="http://schemas.microsoft.com/office/drawing/2014/main" pred="{B7EACA32-4FA5-157D-536A-638948A1D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4.840578935182" createdVersion="8" refreshedVersion="8" minRefreshableVersion="3" recordCount="1000" xr:uid="{23CE5A19-D4AD-42B9-B223-315A20FC0A9D}">
  <cacheSource type="worksheet">
    <worksheetSource ref="A1:O1001" sheet="raw data"/>
  </cacheSource>
  <cacheFields count="15">
    <cacheField name="ticket_id" numFmtId="0">
      <sharedItems containsSemiMixedTypes="0" containsString="0" containsNumber="1" containsInteger="1" minValue="1" maxValue="1000"/>
    </cacheField>
    <cacheField name="created_at" numFmtId="22">
      <sharedItems containsSemiMixedTypes="0" containsNonDate="0" containsDate="1" containsString="0" minDate="2024-01-01T00:25:58" maxDate="2024-03-10T02:49:24"/>
    </cacheField>
    <cacheField name="first_response_at" numFmtId="0">
      <sharedItems containsSemiMixedTypes="0" containsNonDate="0" containsDate="1" containsString="0" minDate="1899-12-31T17:08:00" maxDate="2024-03-10T22:00:41"/>
    </cacheField>
    <cacheField name="resolved_at" numFmtId="0">
      <sharedItems containsNonDate="0" containsDate="1" containsString="0" containsBlank="1" minDate="2024-01-01T07:11:36" maxDate="2024-03-12T13:08:13" count="900">
        <d v="2024-01-01T07:11:36"/>
        <d v="2024-01-01T16:06:16"/>
        <d v="2024-01-03T05:17:17"/>
        <d v="2024-01-02T01:21:58"/>
        <d v="2024-01-02T00:47:38"/>
        <d v="2024-01-02T00:02:50"/>
        <d v="2024-01-02T23:56:54"/>
        <d v="2024-01-01T21:25:25"/>
        <d v="2024-01-02T10:12:39"/>
        <d v="2024-01-02T03:57:57"/>
        <m/>
        <d v="2024-01-04T04:25:49"/>
        <d v="2024-01-03T05:36:53"/>
        <d v="2024-01-03T11:59:33"/>
        <d v="2024-01-04T02:48:48"/>
        <d v="2024-01-02T23:00:17"/>
        <d v="2024-01-03T04:20:45"/>
        <d v="2024-01-04T14:34:29"/>
        <d v="2024-01-04T11:15:06"/>
        <d v="2024-01-05T22:10:29"/>
        <d v="2024-01-04T01:53:23"/>
        <d v="2024-01-04T10:12:48"/>
        <d v="2024-01-05T02:53:08"/>
        <d v="2024-01-03T20:32:44"/>
        <d v="2024-01-05T12:51:15"/>
        <d v="2024-01-04T02:08:38"/>
        <d v="2024-01-04T15:07:10"/>
        <d v="2024-01-04T01:01:16"/>
        <d v="2024-01-05T09:24:14"/>
        <d v="2024-01-03T21:59:02"/>
        <d v="2024-01-04T19:44:12"/>
        <d v="2024-01-04T01:09:03"/>
        <d v="2024-01-04T22:21:43"/>
        <d v="2024-01-06T19:04:30"/>
        <d v="2024-01-04T20:32:58"/>
        <d v="2024-01-05T09:55:32"/>
        <d v="2024-01-04T15:40:52"/>
        <d v="2024-01-04T23:35:12"/>
        <d v="2024-01-05T09:14:26"/>
        <d v="2024-01-06T19:19:40"/>
        <d v="2024-01-05T06:57:59"/>
        <d v="2024-01-04T22:11:13"/>
        <d v="2024-01-05T15:48:55"/>
        <d v="2024-01-07T01:24:42"/>
        <d v="2024-01-06T13:29:21"/>
        <d v="2024-01-05T10:24:38"/>
        <d v="2024-01-05T17:45:33"/>
        <d v="2024-01-06T16:23:58"/>
        <d v="2024-01-05T19:55:49"/>
        <d v="2024-01-07T00:19:13"/>
        <d v="2024-01-07T05:50:21"/>
        <d v="2024-01-07T19:40:51"/>
        <d v="2024-01-05T03:56:18"/>
        <d v="2024-01-05T22:48:25"/>
        <d v="2024-01-07T00:28:19"/>
        <d v="2024-01-06T00:12:06"/>
        <d v="2024-01-05T16:34:47"/>
        <d v="2024-01-06T01:23:44"/>
        <d v="2024-01-07T03:53:40"/>
        <d v="2024-01-08T02:31:32"/>
        <d v="2024-01-05T13:15:00"/>
        <d v="2024-01-06T07:01:48"/>
        <d v="2024-01-05T13:35:54"/>
        <d v="2024-01-06T10:16:06"/>
        <d v="2024-01-06T12:21:49"/>
        <d v="2024-01-06T04:02:06"/>
        <d v="2024-01-06T03:34:09"/>
        <d v="2024-01-06T16:20:51"/>
        <d v="2024-01-06T06:43:03"/>
        <d v="2024-01-06T16:44:06"/>
        <d v="2024-01-06T15:14:15"/>
        <d v="2024-01-07T03:52:11"/>
        <d v="2024-01-08T02:53:33"/>
        <d v="2024-01-08T19:03:01"/>
        <d v="2024-01-08T19:02:03"/>
        <d v="2024-01-07T22:33:50"/>
        <d v="2024-01-07T21:08:06"/>
        <d v="2024-01-07T09:03:46"/>
        <d v="2024-01-08T00:58:14"/>
        <d v="2024-01-08T23:21:11"/>
        <d v="2024-01-08T14:48:22"/>
        <d v="2024-01-08T19:39:54"/>
        <d v="2024-01-09T17:39:12"/>
        <d v="2024-01-08T11:48:06"/>
        <d v="2024-01-09T12:11:49"/>
        <d v="2024-01-08T19:41:46"/>
        <d v="2024-01-08T16:58:06"/>
        <d v="2024-01-08T08:59:30"/>
        <d v="2024-01-10T00:10:57"/>
        <d v="2024-01-08T04:43:27"/>
        <d v="2024-01-09T01:13:02"/>
        <d v="2024-01-08T21:00:09"/>
        <d v="2024-01-08T15:58:03"/>
        <d v="2024-01-08T19:02:53"/>
        <d v="2024-01-08T18:20:25"/>
        <d v="2024-01-09T12:27:06"/>
        <d v="2024-01-09T02:56:47"/>
        <d v="2024-01-10T03:24:13"/>
        <d v="2024-01-09T21:05:49"/>
        <d v="2024-01-08T16:43:36"/>
        <d v="2024-01-08T23:52:03"/>
        <d v="2024-01-08T21:42:38"/>
        <d v="2024-01-10T00:02:31"/>
        <d v="2024-01-09T04:57:36"/>
        <d v="2024-01-09T03:45:28"/>
        <d v="2024-01-09T04:57:37"/>
        <d v="2024-01-11T02:25:05"/>
        <d v="2024-01-10T01:20:41"/>
        <d v="2024-01-09T16:49:29"/>
        <d v="2024-01-12T05:47:10"/>
        <d v="2024-01-10T05:59:12"/>
        <d v="2024-01-09T20:01:11"/>
        <d v="2024-01-09T21:26:46"/>
        <d v="2024-01-11T18:32:16"/>
        <d v="2024-01-09T17:28:57"/>
        <d v="2024-01-12T00:09:08"/>
        <d v="2024-01-10T11:49:44"/>
        <d v="2024-01-10T13:38:24"/>
        <d v="2024-01-10T09:46:36"/>
        <d v="2024-01-10T07:50:02"/>
        <d v="2024-01-11T00:46:08"/>
        <d v="2024-01-12T13:45:10"/>
        <d v="2024-01-10T23:25:28"/>
        <d v="2024-01-10T17:21:16"/>
        <d v="2024-01-12T13:32:42"/>
        <d v="2024-01-10T19:24:46"/>
        <d v="2024-01-10T18:23:17"/>
        <d v="2024-01-11T14:11:10"/>
        <d v="2024-01-10T23:28:19"/>
        <d v="2024-01-13T03:02:28"/>
        <d v="2024-01-13T14:47:49"/>
        <d v="2024-01-11T14:37:07"/>
        <d v="2024-01-12T19:31:03"/>
        <d v="2024-01-11T05:53:52"/>
        <d v="2024-01-13T22:30:47"/>
        <d v="2024-01-13T23:30:45"/>
        <d v="2024-01-11T15:53:32"/>
        <d v="2024-01-12T00:32:38"/>
        <d v="2024-01-13T17:09:43"/>
        <d v="2024-01-11T19:32:28"/>
        <d v="2024-01-11T20:18:54"/>
        <d v="2024-01-12T07:07:52"/>
        <d v="2024-01-11T18:39:38"/>
        <d v="2024-01-11T16:58:16"/>
        <d v="2024-01-12T06:06:44"/>
        <d v="2024-01-13T07:25:01"/>
        <d v="2024-01-12T03:25:56"/>
        <d v="2024-01-12T04:08:43"/>
        <d v="2024-01-12T03:06:07"/>
        <d v="2024-01-12T05:12:01"/>
        <d v="2024-01-12T21:37:37"/>
        <d v="2024-01-12T11:18:46"/>
        <d v="2024-01-13T09:01:35"/>
        <d v="2024-01-13T08:37:29"/>
        <d v="2024-01-15T11:53:23"/>
        <d v="2024-01-13T10:46:10"/>
        <d v="2024-01-14T01:56:04"/>
        <d v="2024-01-13T00:42:05"/>
        <d v="2024-01-13T16:29:20"/>
        <d v="2024-01-13T09:31:32"/>
        <d v="2024-01-13T04:46:26"/>
        <d v="2024-01-13T06:36:10"/>
        <d v="2024-01-13T12:05:06"/>
        <d v="2024-01-13T13:06:10"/>
        <d v="2024-01-15T13:38:14"/>
        <d v="2024-01-15T02:06:03"/>
        <d v="2024-01-14T02:20:19"/>
        <d v="2024-01-13T20:09:18"/>
        <d v="2024-01-16T14:38:23"/>
        <d v="2024-01-14T02:40:41"/>
        <d v="2024-01-14T07:17:13"/>
        <d v="2024-01-13T23:43:16"/>
        <d v="2024-01-14T21:34:13"/>
        <d v="2024-01-14T22:29:04"/>
        <d v="2024-01-14T18:01:43"/>
        <d v="2024-01-14T08:12:24"/>
        <d v="2024-01-16T11:50:13"/>
        <d v="2024-01-15T19:27:06"/>
        <d v="2024-01-14T06:38:07"/>
        <d v="2024-01-14T09:56:26"/>
        <d v="2024-01-15T03:58:11"/>
        <d v="2024-01-14T14:42:25"/>
        <d v="2024-01-14T21:42:55"/>
        <d v="2024-01-15T06:36:37"/>
        <d v="2024-01-17T06:43:58"/>
        <d v="2024-01-15T18:28:46"/>
        <d v="2024-01-16T12:26:20"/>
        <d v="2024-01-15T20:56:47"/>
        <d v="2024-01-17T04:28:49"/>
        <d v="2024-01-15T12:34:38"/>
        <d v="2024-01-16T11:01:00"/>
        <d v="2024-01-16T17:41:08"/>
        <d v="2024-01-15T17:40:27"/>
        <d v="2024-01-15T18:28:18"/>
        <d v="2024-01-17T02:17:28"/>
        <d v="2024-01-15T21:15:22"/>
        <d v="2024-01-15T23:52:36"/>
        <d v="2024-01-16T15:58:55"/>
        <d v="2024-01-15T20:06:32"/>
        <d v="2024-01-16T03:52:08"/>
        <d v="2024-01-16T07:33:40"/>
        <d v="2024-01-16T20:54:49"/>
        <d v="2024-01-18T15:41:20"/>
        <d v="2024-01-16T16:37:26"/>
        <d v="2024-01-16T19:26:18"/>
        <d v="2024-01-16T16:42:55"/>
        <d v="2024-01-18T03:37:31"/>
        <d v="2024-01-16T14:49:57"/>
        <d v="2024-01-18T07:49:19"/>
        <d v="2024-01-16T22:12:37"/>
        <d v="2024-01-16T19:49:38"/>
        <d v="2024-01-17T04:35:14"/>
        <d v="2024-01-17T17:11:08"/>
        <d v="2024-01-18T12:28:20"/>
        <d v="2024-01-17T15:23:18"/>
        <d v="2024-01-18T16:30:34"/>
        <d v="2024-01-17T19:07:53"/>
        <d v="2024-01-17T09:34:03"/>
        <d v="2024-01-18T17:39:34"/>
        <d v="2024-01-17T10:20:29"/>
        <d v="2024-01-18T02:03:39"/>
        <d v="2024-01-19T20:23:06"/>
        <d v="2024-01-19T22:19:59"/>
        <d v="2024-01-18T21:29:46"/>
        <d v="2024-01-18T05:32:35"/>
        <d v="2024-01-18T00:28:42"/>
        <d v="2024-01-17T20:52:18"/>
        <d v="2024-01-20T09:25:13"/>
        <d v="2024-01-18T01:08:48"/>
        <d v="2024-01-18T21:31:52"/>
        <d v="2024-01-18T17:03:14"/>
        <d v="2024-01-18T06:54:33"/>
        <d v="2024-01-19T02:13:50"/>
        <d v="2024-01-18T17:44:57"/>
        <d v="2024-01-19T01:34:54"/>
        <d v="2024-01-18T12:03:44"/>
        <d v="2024-01-18T17:56:51"/>
        <d v="2024-01-20T02:59:32"/>
        <d v="2024-01-19T05:47:43"/>
        <d v="2024-01-19T13:11:37"/>
        <d v="2024-01-18T22:06:27"/>
        <d v="2024-01-19T09:15:19"/>
        <d v="2024-01-19T11:35:00"/>
        <d v="2024-01-19T12:22:33"/>
        <d v="2024-01-19T20:18:43"/>
        <d v="2024-01-19T23:46:17"/>
        <d v="2024-01-22T11:15:18"/>
        <d v="2024-01-20T07:30:45"/>
        <d v="2024-01-22T14:58:05"/>
        <d v="2024-01-20T22:45:37"/>
        <d v="2024-01-22T00:53:27"/>
        <d v="2024-01-21T23:32:06"/>
        <d v="2024-01-22T11:36:00"/>
        <d v="2024-01-22T16:50:07"/>
        <d v="2024-01-20T15:13:07"/>
        <d v="2024-01-21T15:37:53"/>
        <d v="2024-01-22T03:40:54"/>
        <d v="2024-01-20T23:24:36"/>
        <d v="2024-01-22T05:31:49"/>
        <d v="2024-01-20T23:30:50"/>
        <d v="2024-01-22T08:45:53"/>
        <d v="2024-01-21T12:26:49"/>
        <d v="2024-01-22T19:55:21"/>
        <d v="2024-01-21T10:45:25"/>
        <d v="2024-01-22T20:15:53"/>
        <d v="2024-01-22T00:19:44"/>
        <d v="2024-01-24T05:33:19"/>
        <d v="2024-01-22T07:41:02"/>
        <d v="2024-01-21T20:18:46"/>
        <d v="2024-01-22T06:15:12"/>
        <d v="2024-01-21T18:19:56"/>
        <d v="2024-01-24T06:56:50"/>
        <d v="2024-01-21T21:41:17"/>
        <d v="2024-01-22T09:12:49"/>
        <d v="2024-01-24T03:50:33"/>
        <d v="2024-01-22T18:00:04"/>
        <d v="2024-01-22T17:21:19"/>
        <d v="2024-01-22T20:52:30"/>
        <d v="2024-01-23T07:26:59"/>
        <d v="2024-01-22T22:02:36"/>
        <d v="2024-01-23T00:02:05"/>
        <d v="2024-01-23T22:24:10"/>
        <d v="2024-01-23T07:02:53"/>
        <d v="2024-01-25T03:57:05"/>
        <d v="2024-01-23T06:12:49"/>
        <d v="2024-01-25T15:14:27"/>
        <d v="2024-01-22T22:06:14"/>
        <d v="2024-01-23T14:27:35"/>
        <d v="2024-01-23T06:29:19"/>
        <d v="2024-01-24T18:08:09"/>
        <d v="2024-01-23T17:29:02"/>
        <d v="2024-01-23T19:30:30"/>
        <d v="2024-01-23T14:34:46"/>
        <d v="2024-01-24T08:43:59"/>
        <d v="2024-01-24T05:41:26"/>
        <d v="2024-01-23T19:44:57"/>
        <d v="2024-01-24T07:56:24"/>
        <d v="2024-01-24T11:19:59"/>
        <d v="2024-01-25T02:06:19"/>
        <d v="2024-01-25T04:30:46"/>
        <d v="2024-01-24T07:22:48"/>
        <d v="2024-01-25T02:36:01"/>
        <d v="2024-01-24T20:44:32"/>
        <d v="2024-01-24T08:12:12"/>
        <d v="2024-01-24T15:54:18"/>
        <d v="2024-01-24T14:17:59"/>
        <d v="2024-01-26T14:12:49"/>
        <d v="2024-01-24T20:59:42"/>
        <d v="2024-01-25T02:40:45"/>
        <d v="2024-01-25T16:12:20"/>
        <d v="2024-01-25T03:18:32"/>
        <d v="2024-01-25T06:01:03"/>
        <d v="2024-01-25T06:05:28"/>
        <d v="2024-01-27T05:51:38"/>
        <d v="2024-01-26T00:20:50"/>
        <d v="2024-01-25T21:25:28"/>
        <d v="2024-01-25T22:35:55"/>
        <d v="2024-01-25T16:35:25"/>
        <d v="2024-01-25T14:13:21"/>
        <d v="2024-01-26T02:19:37"/>
        <d v="2024-01-27T02:11:05"/>
        <d v="2024-01-27T00:07:57"/>
        <d v="2024-01-26T15:39:32"/>
        <d v="2024-01-25T20:00:21"/>
        <d v="2024-01-26T03:52:47"/>
        <d v="2024-01-27T19:18:02"/>
        <d v="2024-01-26T17:12:26"/>
        <d v="2024-01-26T17:33:11"/>
        <d v="2024-01-28T21:58:41"/>
        <d v="2024-01-28T15:34:41"/>
        <d v="2024-01-28T14:43:54"/>
        <d v="2024-01-27T00:54:35"/>
        <d v="2024-01-27T02:53:50"/>
        <d v="2024-01-27T05:54:41"/>
        <d v="2024-01-27T18:59:14"/>
        <d v="2024-01-27T02:19:21"/>
        <d v="2024-01-29T05:00:36"/>
        <d v="2024-01-27T15:59:10"/>
        <d v="2024-01-29T16:50:16"/>
        <d v="2024-01-27T11:08:15"/>
        <d v="2024-01-27T12:07:38"/>
        <d v="2024-01-27T14:43:16"/>
        <d v="2024-01-27T22:56:47"/>
        <d v="2024-01-28T03:56:27"/>
        <d v="2024-01-28T09:45:20"/>
        <d v="2024-01-28T10:02:28"/>
        <d v="2024-01-27T16:04:30"/>
        <d v="2024-01-28T13:19:10"/>
        <d v="2024-01-28T14:11:18"/>
        <d v="2024-01-28T15:31:34"/>
        <d v="2024-01-28T04:34:49"/>
        <d v="2024-01-28T11:12:14"/>
        <d v="2024-01-28T18:01:36"/>
        <d v="2024-01-29T08:48:20"/>
        <d v="2024-01-29T00:45:52"/>
        <d v="2024-01-29T00:31:34"/>
        <d v="2024-01-29T05:31:12"/>
        <d v="2024-01-30T12:02:14"/>
        <d v="2024-01-28T19:06:58"/>
        <d v="2024-01-30T23:24:41"/>
        <d v="2024-01-29T05:53:36"/>
        <d v="2024-01-29T04:06:54"/>
        <d v="2024-01-29T09:38:11"/>
        <d v="2024-01-28T23:32:06"/>
        <d v="2024-01-29T22:13:09"/>
        <d v="2024-01-29T19:10:30"/>
        <d v="2024-01-30T21:50:14"/>
        <d v="2024-01-29T10:06:49"/>
        <d v="2024-01-29T23:07:02"/>
        <d v="2024-01-30T00:58:39"/>
        <d v="2024-01-29T12:08:13"/>
        <d v="2024-01-31T13:07:09"/>
        <d v="2024-01-30T17:59:39"/>
        <d v="2024-01-30T12:57:31"/>
        <d v="2024-01-30T14:33:50"/>
        <d v="2024-01-29T23:46:42"/>
        <d v="2024-01-30T08:19:54"/>
        <d v="2024-02-01T00:05:16"/>
        <d v="2024-01-30T16:08:22"/>
        <d v="2024-01-30T00:23:29"/>
        <d v="2024-01-30T08:41:12"/>
        <d v="2024-01-30T02:58:15"/>
        <d v="2024-01-31T00:48:31"/>
        <d v="2024-01-30T14:17:05"/>
        <d v="2024-02-01T20:52:22"/>
        <d v="2024-02-01T00:15:39"/>
        <d v="2024-01-30T19:12:28"/>
        <d v="2024-02-02T03:54:46"/>
        <d v="2024-02-01T03:43:17"/>
        <d v="2024-02-01T04:26:27"/>
        <d v="2024-02-02T11:43:20"/>
        <d v="2024-01-31T17:12:36"/>
        <d v="2024-01-31T14:10:44"/>
        <d v="2024-01-31T12:45:11"/>
        <d v="2024-01-31T15:05:01"/>
        <d v="2024-02-01T13:54:37"/>
        <d v="2024-02-01T07:32:56"/>
        <d v="2024-01-31T16:55:50"/>
        <d v="2024-02-03T01:33:50"/>
        <d v="2024-02-01T17:30:57"/>
        <d v="2024-02-01T14:56:17"/>
        <d v="2024-02-03T10:50:36"/>
        <d v="2024-02-01T12:15:35"/>
        <d v="2024-02-01T13:44:23"/>
        <d v="2024-02-01T05:27:36"/>
        <d v="2024-02-02T14:03:07"/>
        <d v="2024-02-01T15:28:11"/>
        <d v="2024-02-03T02:51:05"/>
        <d v="2024-02-02T02:23:11"/>
        <d v="2024-02-01T13:10:50"/>
        <d v="2024-02-01T21:26:46"/>
        <d v="2024-02-03T09:49:05"/>
        <d v="2024-02-04T02:51:14"/>
        <d v="2024-02-02T05:01:21"/>
        <d v="2024-02-02T16:01:09"/>
        <d v="2024-02-02T12:26:49"/>
        <d v="2024-02-04T17:45:07"/>
        <d v="2024-02-02T18:31:08"/>
        <d v="2024-02-04T10:59:47"/>
        <d v="2024-02-03T22:16:44"/>
        <d v="2024-02-02T17:28:16"/>
        <d v="2024-02-02T19:23:08"/>
        <d v="2024-02-02T19:45:03"/>
        <d v="2024-02-03T01:16:44"/>
        <d v="2024-02-02T22:32:06"/>
        <d v="2024-02-05T12:58:17"/>
        <d v="2024-02-03T21:12:31"/>
        <d v="2024-02-03T10:41:29"/>
        <d v="2024-02-05T17:09:12"/>
        <d v="2024-02-03T19:22:12"/>
        <d v="2024-02-03T15:57:47"/>
        <d v="2024-02-04T07:26:51"/>
        <d v="2024-02-04T11:17:46"/>
        <d v="2024-02-03T23:08:10"/>
        <d v="2024-02-03T20:26:11"/>
        <d v="2024-02-06T14:06:16"/>
        <d v="2024-02-04T02:55:08"/>
        <d v="2024-02-04T15:36:30"/>
        <d v="2024-02-04T11:20:50"/>
        <d v="2024-02-05T08:25:14"/>
        <d v="2024-02-06T13:57:42"/>
        <d v="2024-02-04T07:17:43"/>
        <d v="2024-02-04T22:20:33"/>
        <d v="2024-02-04T13:06:23"/>
        <d v="2024-02-06T17:47:52"/>
        <d v="2024-02-05T07:18:06"/>
        <d v="2024-02-05T01:03:28"/>
        <d v="2024-02-05T02:06:21"/>
        <d v="2024-02-04T18:09:45"/>
        <d v="2024-02-05T13:56:57"/>
        <d v="2024-02-07T09:05:10"/>
        <d v="2024-02-05T10:15:33"/>
        <d v="2024-02-06T15:49:43"/>
        <d v="2024-02-07T18:11:20"/>
        <d v="2024-02-07T00:30:41"/>
        <d v="2024-02-05T15:09:18"/>
        <d v="2024-02-05T15:17:04"/>
        <d v="2024-02-06T04:11:52"/>
        <d v="2024-02-07T23:35:41"/>
        <d v="2024-02-06T12:01:15"/>
        <d v="2024-02-06T04:31:04"/>
        <d v="2024-02-06T11:25:08"/>
        <d v="2024-02-06T12:14:42"/>
        <d v="2024-02-06T22:50:01"/>
        <d v="2024-02-06T20:02:37"/>
        <d v="2024-02-08T02:57:39"/>
        <d v="2024-02-06T10:49:47"/>
        <d v="2024-02-07T02:19:51"/>
        <d v="2024-02-06T15:14:26"/>
        <d v="2024-02-06T08:30:27"/>
        <d v="2024-02-07T03:00:10"/>
        <d v="2024-02-09T04:43:48"/>
        <d v="2024-02-07T09:31:35"/>
        <d v="2024-02-08T05:42:16"/>
        <d v="2024-02-07T01:19:49"/>
        <d v="2024-02-08T09:47:48"/>
        <d v="2024-02-08T10:21:48"/>
        <d v="2024-02-07T17:25:52"/>
        <d v="2024-02-09T02:13:24"/>
        <d v="2024-02-07T04:50:53"/>
        <d v="2024-02-07T15:57:23"/>
        <d v="2024-02-07T04:35:41"/>
        <d v="2024-02-07T19:46:00"/>
        <d v="2024-02-09T20:07:48"/>
        <d v="2024-02-07T20:10:58"/>
        <d v="2024-02-07T20:42:22"/>
        <d v="2024-02-07T21:38:11"/>
        <d v="2024-02-08T05:00:47"/>
        <d v="2024-02-10T00:18:46"/>
        <d v="2024-02-08T05:58:45"/>
        <d v="2024-02-08T11:32:06"/>
        <d v="2024-02-09T04:51:14"/>
        <d v="2024-02-09T21:21:50"/>
        <d v="2024-02-10T21:23:49"/>
        <d v="2024-02-08T14:49:11"/>
        <d v="2024-02-08T22:55:26"/>
        <d v="2024-02-08T20:58:04"/>
        <d v="2024-02-10T02:11:20"/>
        <d v="2024-02-09T05:53:53"/>
        <d v="2024-02-10T23:17:05"/>
        <d v="2024-02-09T09:05:44"/>
        <d v="2024-02-08T16:05:52"/>
        <d v="2024-02-10T10:21:32"/>
        <d v="2024-02-09T00:43:25"/>
        <d v="2024-02-11T04:35:08"/>
        <d v="2024-02-09T08:13:29"/>
        <d v="2024-02-09T23:56:43"/>
        <d v="2024-02-09T05:59:07"/>
        <d v="2024-02-11T15:23:45"/>
        <d v="2024-02-11T15:34:48"/>
        <d v="2024-02-09T20:49:46"/>
        <d v="2024-02-09T09:02:38"/>
        <d v="2024-02-10T02:55:27"/>
        <d v="2024-02-12T03:53:27"/>
        <d v="2024-02-10T08:01:54"/>
        <d v="2024-02-10T22:35:33"/>
        <d v="2024-02-10T14:03:12"/>
        <d v="2024-02-10T06:16:31"/>
        <d v="2024-02-12T04:35:50"/>
        <d v="2024-02-10T06:51:23"/>
        <d v="2024-02-10T12:23:42"/>
        <d v="2024-02-10T12:09:08"/>
        <d v="2024-02-10T06:46:02"/>
        <d v="2024-02-10T20:09:54"/>
        <d v="2024-02-11T11:27:34"/>
        <d v="2024-02-10T13:36:30"/>
        <d v="2024-02-12T05:01:03"/>
        <d v="2024-02-11T06:34:30"/>
        <d v="2024-02-10T16:53:49"/>
        <d v="2024-02-11T01:26:37"/>
        <d v="2024-02-10T20:30:52"/>
        <d v="2024-02-13T01:04:37"/>
        <d v="2024-02-11T01:39:09"/>
        <d v="2024-02-10T22:41:24"/>
        <d v="2024-02-11T21:03:11"/>
        <d v="2024-02-11T08:51:11"/>
        <d v="2024-02-11T18:16:58"/>
        <d v="2024-02-11T07:39:59"/>
        <d v="2024-02-11T12:16:11"/>
        <d v="2024-02-12T01:40:15"/>
        <d v="2024-02-13T20:41:21"/>
        <d v="2024-02-11T22:43:43"/>
        <d v="2024-02-12T14:37:21"/>
        <d v="2024-02-11T17:01:57"/>
        <d v="2024-02-12T03:15:12"/>
        <d v="2024-02-12T19:03:07"/>
        <d v="2024-02-12T09:58:39"/>
        <d v="2024-02-12T17:10:08"/>
        <d v="2024-02-12T17:00:40"/>
        <d v="2024-02-13T03:09:35"/>
        <d v="2024-02-12T16:55:38"/>
        <d v="2024-02-13T00:32:17"/>
        <d v="2024-02-13T14:28:13"/>
        <d v="2024-02-13T00:10:04"/>
        <d v="2024-02-13T06:25:22"/>
        <d v="2024-02-13T23:52:05"/>
        <d v="2024-02-13T10:57:06"/>
        <d v="2024-02-14T00:49:57"/>
        <d v="2024-02-13T15:39:56"/>
        <d v="2024-02-15T03:09:17"/>
        <d v="2024-02-13T15:16:58"/>
        <d v="2024-02-13T21:44:14"/>
        <d v="2024-02-14T13:09:05"/>
        <d v="2024-02-13T17:49:06"/>
        <d v="2024-02-14T05:29:23"/>
        <d v="2024-02-14T01:03:12"/>
        <d v="2024-02-14T17:49:23"/>
        <d v="2024-02-14T01:48:56"/>
        <d v="2024-02-14T05:00:19"/>
        <d v="2024-02-14T03:16:59"/>
        <d v="2024-02-16T14:08:40"/>
        <d v="2024-02-15T06:18:02"/>
        <d v="2024-02-15T17:07:53"/>
        <d v="2024-02-14T11:51:28"/>
        <d v="2024-02-14T13:34:28"/>
        <d v="2024-02-14T19:21:31"/>
        <d v="2024-02-14T13:15:34"/>
        <d v="2024-02-14T17:11:18"/>
        <d v="2024-02-14T20:27:18"/>
        <d v="2024-02-14T17:39:14"/>
        <d v="2024-02-17T04:20:41"/>
        <d v="2024-02-14T19:21:12"/>
        <d v="2024-02-15T09:30:44"/>
        <d v="2024-02-15T04:22:14"/>
        <d v="2024-02-15T03:00:04"/>
        <d v="2024-02-15T21:12:22"/>
        <d v="2024-02-17T19:43:27"/>
        <d v="2024-02-17T14:40:30"/>
        <d v="2024-02-15T19:33:58"/>
        <d v="2024-02-15T12:20:04"/>
        <d v="2024-02-16T06:47:49"/>
        <d v="2024-02-15T21:52:35"/>
        <d v="2024-02-17T14:03:17"/>
        <d v="2024-02-17T12:07:02"/>
        <d v="2024-02-17T04:36:01"/>
        <d v="2024-02-17T22:33:41"/>
        <d v="2024-02-16T16:48:00"/>
        <d v="2024-02-18T11:34:22"/>
        <d v="2024-02-16T16:43:31"/>
        <d v="2024-02-16T10:19:00"/>
        <d v="2024-02-18T20:37:32"/>
        <d v="2024-02-18T22:59:47"/>
        <d v="2024-02-18T14:13:50"/>
        <d v="2024-02-17T06:12:35"/>
        <d v="2024-02-16T14:24:40"/>
        <d v="2024-02-18T06:36:25"/>
        <d v="2024-02-16T18:05:08"/>
        <d v="2024-02-17T09:28:43"/>
        <d v="2024-02-17T07:53:12"/>
        <d v="2024-02-17T05:19:58"/>
        <d v="2024-02-17T04:12:06"/>
        <d v="2024-02-19T21:34:49"/>
        <d v="2024-02-17T06:27:31"/>
        <d v="2024-02-18T13:18:05"/>
        <d v="2024-02-18T23:17:54"/>
        <d v="2024-02-17T16:53:07"/>
        <d v="2024-02-17T15:45:56"/>
        <d v="2024-02-17T14:11:20"/>
        <d v="2024-02-20T01:49:52"/>
        <d v="2024-02-18T00:10:08"/>
        <d v="2024-02-18T10:15:20"/>
        <d v="2024-02-20T13:19:54"/>
        <d v="2024-02-18T07:48:18"/>
        <d v="2024-02-18T21:26:36"/>
        <d v="2024-02-19T16:44:26"/>
        <d v="2024-02-18T11:19:07"/>
        <d v="2024-02-18T13:28:57"/>
        <d v="2024-02-18T20:25:03"/>
        <d v="2024-02-20T19:25:22"/>
        <d v="2024-02-19T14:21:31"/>
        <d v="2024-02-20T01:12:42"/>
        <d v="2024-02-20T16:06:40"/>
        <d v="2024-02-18T18:20:44"/>
        <d v="2024-02-19T00:44:37"/>
        <d v="2024-02-19T05:01:25"/>
        <d v="2024-02-20T01:56:12"/>
        <d v="2024-02-19T21:20:36"/>
        <d v="2024-02-19T09:51:41"/>
        <d v="2024-02-21T23:35:14"/>
        <d v="2024-02-19T18:10:44"/>
        <d v="2024-02-19T13:45:13"/>
        <d v="2024-02-19T16:11:20"/>
        <d v="2024-02-19T23:41:31"/>
        <d v="2024-02-19T14:24:37"/>
        <d v="2024-02-20T01:49:42"/>
        <d v="2024-02-20T09:23:47"/>
        <d v="2024-02-21T05:03:21"/>
        <d v="2024-02-20T15:34:43"/>
        <d v="2024-02-20T02:06:41"/>
        <d v="2024-02-21T05:48:19"/>
        <d v="2024-02-20T05:48:47"/>
        <d v="2024-02-22T05:50:38"/>
        <d v="2024-02-22T16:16:44"/>
        <d v="2024-02-20T02:19:51"/>
        <d v="2024-02-20T23:48:08"/>
        <d v="2024-02-22T06:48:00"/>
        <d v="2024-02-21T15:46:16"/>
        <d v="2024-02-20T13:10:27"/>
        <d v="2024-02-20T20:19:04"/>
        <d v="2024-02-21T15:47:36"/>
        <d v="2024-02-23T01:10:48"/>
        <d v="2024-02-23T06:21:42"/>
        <d v="2024-02-21T15:40:25"/>
        <d v="2024-02-21T16:11:52"/>
        <d v="2024-02-21T06:53:40"/>
        <d v="2024-02-21T19:25:27"/>
        <d v="2024-02-22T13:11:44"/>
        <d v="2024-02-23T08:04:31"/>
        <d v="2024-02-21T07:58:30"/>
        <d v="2024-02-22T10:05:29"/>
        <d v="2024-02-21T06:17:33"/>
        <d v="2024-02-21T12:41:51"/>
        <d v="2024-02-22T02:45:37"/>
        <d v="2024-02-22T11:04:47"/>
        <d v="2024-02-22T07:27:37"/>
        <d v="2024-02-22T19:55:44"/>
        <d v="2024-02-22T23:35:25"/>
        <d v="2024-02-24T07:11:12"/>
        <d v="2024-02-22T21:55:09"/>
        <d v="2024-02-22T17:23:51"/>
        <d v="2024-02-24T06:16:41"/>
        <d v="2024-02-23T12:12:42"/>
        <d v="2024-02-23T09:26:14"/>
        <d v="2024-02-23T10:12:44"/>
        <d v="2024-02-23T14:51:01"/>
        <d v="2024-02-23T21:08:30"/>
        <d v="2024-02-23T07:18:17"/>
        <d v="2024-02-24T22:11:42"/>
        <d v="2024-02-24T03:01:56"/>
        <d v="2024-02-23T21:18:17"/>
        <d v="2024-02-24T00:48:36"/>
        <d v="2024-02-23T23:45:31"/>
        <d v="2024-02-24T02:00:25"/>
        <d v="2024-02-24T00:32:08"/>
        <d v="2024-02-24T08:38:46"/>
        <d v="2024-02-23T13:28:19"/>
        <d v="2024-02-26T06:28:34"/>
        <d v="2024-02-24T05:40:43"/>
        <d v="2024-02-24T13:46:13"/>
        <d v="2024-02-25T21:10:21"/>
        <d v="2024-02-23T19:42:56"/>
        <d v="2024-02-24T22:11:06"/>
        <d v="2024-02-24T00:01:29"/>
        <d v="2024-02-24T20:14:08"/>
        <d v="2024-02-25T03:51:08"/>
        <d v="2024-02-24T06:39:22"/>
        <d v="2024-02-26T01:36:09"/>
        <d v="2024-02-24T15:23:50"/>
        <d v="2024-02-25T01:52:17"/>
        <d v="2024-02-24T07:46:11"/>
        <d v="2024-02-24T23:44:08"/>
        <d v="2024-02-24T20:04:18"/>
        <d v="2024-02-25T01:22:45"/>
        <d v="2024-02-25T01:22:22"/>
        <d v="2024-02-24T17:45:46"/>
        <d v="2024-02-26T14:40:38"/>
        <d v="2024-02-25T05:07:04"/>
        <d v="2024-02-25T14:26:58"/>
        <d v="2024-02-25T22:58:21"/>
        <d v="2024-02-27T22:15:45"/>
        <d v="2024-02-26T15:46:05"/>
        <d v="2024-02-26T21:17:12"/>
        <d v="2024-02-25T19:49:59"/>
        <d v="2024-02-25T13:29:27"/>
        <d v="2024-02-26T11:50:12"/>
        <d v="2024-02-25T15:44:43"/>
        <d v="2024-02-26T12:46:25"/>
        <d v="2024-02-25T15:55:23"/>
        <d v="2024-02-27T17:43:03"/>
        <d v="2024-02-28T14:56:57"/>
        <d v="2024-02-26T18:56:48"/>
        <d v="2024-02-28T02:15:57"/>
        <d v="2024-02-27T01:29:21"/>
        <d v="2024-02-27T18:11:25"/>
        <d v="2024-02-26T08:42:12"/>
        <d v="2024-02-26T20:43:00"/>
        <d v="2024-02-26T17:06:23"/>
        <d v="2024-02-27T07:50:53"/>
        <d v="2024-02-27T03:57:55"/>
        <d v="2024-02-27T11:51:28"/>
        <d v="2024-02-27T01:25:23"/>
        <d v="2024-02-28T08:30:40"/>
        <d v="2024-02-27T08:25:04"/>
        <d v="2024-02-27T09:15:07"/>
        <d v="2024-02-27T05:49:51"/>
        <d v="2024-02-29T00:06:05"/>
        <d v="2024-02-28T01:42:11"/>
        <d v="2024-02-28T08:00:04"/>
        <d v="2024-02-28T04:25:16"/>
        <d v="2024-03-01T05:08:37"/>
        <d v="2024-02-29T21:24:31"/>
        <d v="2024-02-28T09:21:38"/>
        <d v="2024-03-01T15:02:48"/>
        <d v="2024-02-28T23:35:34"/>
        <d v="2024-03-01T23:38:16"/>
        <d v="2024-02-29T01:56:29"/>
        <d v="2024-02-28T05:58:49"/>
        <d v="2024-02-28T08:02:43"/>
        <d v="2024-03-02T03:03:32"/>
        <d v="2024-03-01T01:37:12"/>
        <d v="2024-03-01T03:56:28"/>
        <d v="2024-02-28T18:07:05"/>
        <d v="2024-02-28T18:44:04"/>
        <d v="2024-03-02T02:15:30"/>
        <d v="2024-02-29T08:51:38"/>
        <d v="2024-02-29T03:07:19"/>
        <d v="2024-02-29T10:29:29"/>
        <d v="2024-03-01T18:14:04"/>
        <d v="2024-03-02T21:51:43"/>
        <d v="2024-02-29T12:09:08"/>
        <d v="2024-02-29T10:02:47"/>
        <d v="2024-03-01T08:44:41"/>
        <d v="2024-02-29T19:56:30"/>
        <d v="2024-03-01T16:27:27"/>
        <d v="2024-03-02T15:27:38"/>
        <d v="2024-03-01T20:05:41"/>
        <d v="2024-03-01T10:21:46"/>
        <d v="2024-03-02T02:33:51"/>
        <d v="2024-03-02T19:26:58"/>
        <d v="2024-03-01T03:37:48"/>
        <d v="2024-03-01T15:40:20"/>
        <d v="2024-03-01T01:22:15"/>
        <d v="2024-03-01T12:07:50"/>
        <d v="2024-02-29T21:46:26"/>
        <d v="2024-03-01T12:55:44"/>
        <d v="2024-03-03T02:42:38"/>
        <d v="2024-03-01T19:26:40"/>
        <d v="2024-03-03T01:05:08"/>
        <d v="2024-03-01T03:48:16"/>
        <d v="2024-03-02T07:45:29"/>
        <d v="2024-03-03T08:47:46"/>
        <d v="2024-03-01T20:17:04"/>
        <d v="2024-03-02T15:07:57"/>
        <d v="2024-03-02T22:19:57"/>
        <d v="2024-03-02T01:35:25"/>
        <d v="2024-03-03T19:03:29"/>
        <d v="2024-03-01T18:03:22"/>
        <d v="2024-03-02T16:22:48"/>
        <d v="2024-03-02T10:52:14"/>
        <d v="2024-03-04T20:08:26"/>
        <d v="2024-03-02T21:38:35"/>
        <d v="2024-03-04T09:36:21"/>
        <d v="2024-03-02T14:09:06"/>
        <d v="2024-03-03T13:05:31"/>
        <d v="2024-03-02T17:24:50"/>
        <d v="2024-03-03T09:19:33"/>
        <d v="2024-03-03T03:19:59"/>
        <d v="2024-03-03T12:50:23"/>
        <d v="2024-03-04T11:37:04"/>
        <d v="2024-03-04T08:22:43"/>
        <d v="2024-03-05T02:56:49"/>
        <d v="2024-03-03T13:31:56"/>
        <d v="2024-03-03T01:35:51"/>
        <d v="2024-03-03T12:52:09"/>
        <d v="2024-03-03T08:24:17"/>
        <d v="2024-03-04T00:05:08"/>
        <d v="2024-03-04T05:20:21"/>
        <d v="2024-03-05T00:59:18"/>
        <d v="2024-03-04T00:58:41"/>
        <d v="2024-03-03T21:07:49"/>
        <d v="2024-03-04T13:17:45"/>
        <d v="2024-03-05T20:54:33"/>
        <d v="2024-03-04T02:13:29"/>
        <d v="2024-03-04T10:21:50"/>
        <d v="2024-03-04T15:40:14"/>
        <d v="2024-03-04T15:39:58"/>
        <d v="2024-03-06T08:21:48"/>
        <d v="2024-03-05T02:30:54"/>
        <d v="2024-03-04T17:55:58"/>
        <d v="2024-03-07T07:39:28"/>
        <d v="2024-03-04T20:51:25"/>
        <d v="2024-03-06T17:28:24"/>
        <d v="2024-03-05T00:29:21"/>
        <d v="2024-03-05T09:08:41"/>
        <d v="2024-03-05T16:24:25"/>
        <d v="2024-03-06T19:27:16"/>
        <d v="2024-03-06T20:34:55"/>
        <d v="2024-03-07T20:48:41"/>
        <d v="2024-03-05T14:58:33"/>
        <d v="2024-03-06T04:04:50"/>
        <d v="2024-03-06T10:12:09"/>
        <d v="2024-03-05T19:27:34"/>
        <d v="2024-03-08T08:04:22"/>
        <d v="2024-03-06T08:55:19"/>
        <d v="2024-03-05T16:09:20"/>
        <d v="2024-03-06T19:54:22"/>
        <d v="2024-03-06T13:49:50"/>
        <d v="2024-03-06T22:45:06"/>
        <d v="2024-03-06T04:37:04"/>
        <d v="2024-03-06T22:22:45"/>
        <d v="2024-03-06T16:12:08"/>
        <d v="2024-03-07T06:09:32"/>
        <d v="2024-03-06T22:38:47"/>
        <d v="2024-03-06T11:54:00"/>
        <d v="2024-03-06T23:38:34"/>
        <d v="2024-03-06T23:02:04"/>
        <d v="2024-03-07T15:06:55"/>
        <d v="2024-03-07T06:53:02"/>
        <d v="2024-03-07T07:05:27"/>
        <d v="2024-03-07T13:32:46"/>
        <d v="2024-03-07T18:46:54"/>
        <d v="2024-03-07T21:15:45"/>
        <d v="2024-03-08T04:26:00"/>
        <d v="2024-03-07T16:16:57"/>
        <d v="2024-03-07T21:00:26"/>
        <d v="2024-03-07T09:27:30"/>
        <d v="2024-03-09T12:00:46"/>
        <d v="2024-03-08T04:55:49"/>
        <d v="2024-03-08T08:53:43"/>
        <d v="2024-03-09T01:51:06"/>
        <d v="2024-03-08T15:52:54"/>
        <d v="2024-03-08T22:45:46"/>
        <d v="2024-03-08T15:13:14"/>
        <d v="2024-03-08T05:44:52"/>
        <d v="2024-03-08T19:39:42"/>
        <d v="2024-03-08T19:09:13"/>
        <d v="2024-03-10T22:46:05"/>
        <d v="2024-03-09T04:03:08"/>
        <d v="2024-03-09T05:26:35"/>
        <d v="2024-03-08T22:53:54"/>
        <d v="2024-03-09T21:35:58"/>
        <d v="2024-03-08T22:10:39"/>
        <d v="2024-03-11T01:23:33"/>
        <d v="2024-03-09T23:42:41"/>
        <d v="2024-03-11T08:31:24"/>
        <d v="2024-03-09T19:24:53"/>
        <d v="2024-03-09T08:10:36"/>
        <d v="2024-03-11T08:02:31"/>
        <d v="2024-03-09T17:37:17"/>
        <d v="2024-03-09T12:15:41"/>
        <d v="2024-03-09T21:00:41"/>
        <d v="2024-03-09T16:29:59"/>
        <d v="2024-03-10T10:10:52"/>
        <d v="2024-03-10T10:26:58"/>
        <d v="2024-03-10T07:10:46"/>
        <d v="2024-03-12T13:08:13"/>
        <d v="2024-03-10T20:11:23"/>
        <d v="2024-03-11T08:42:58"/>
        <d v="2024-03-10T20:32:18"/>
        <d v="2024-03-11T05:02:08"/>
      </sharedItems>
    </cacheField>
    <cacheField name="priority" numFmtId="0">
      <sharedItems count="4">
        <s v="P2"/>
        <s v="P3"/>
        <s v="P4"/>
        <s v="P1"/>
      </sharedItems>
    </cacheField>
    <cacheField name="status" numFmtId="0">
      <sharedItems count="4">
        <s v="resolved"/>
        <s v="closed"/>
        <s v="pending"/>
        <s v="in_progress"/>
      </sharedItems>
    </cacheField>
    <cacheField name="channel" numFmtId="0">
      <sharedItems count="4">
        <s v="email"/>
        <s v="chat"/>
        <s v="portal"/>
        <s v="phone"/>
      </sharedItems>
    </cacheField>
    <cacheField name="category_id" numFmtId="0">
      <sharedItems containsSemiMixedTypes="0" containsString="0" containsNumber="1" containsInteger="1" minValue="1" maxValue="8" count="8">
        <n v="5"/>
        <n v="8"/>
        <n v="4"/>
        <n v="7"/>
        <n v="3"/>
        <n v="2"/>
        <n v="1"/>
        <n v="6"/>
      </sharedItems>
    </cacheField>
    <cacheField name="assigned_agent_id" numFmtId="0">
      <sharedItems containsSemiMixedTypes="0" containsString="0" containsNumber="1" containsInteger="1" minValue="1" maxValue="10"/>
    </cacheField>
    <cacheField name="requester_department" numFmtId="0">
      <sharedItems/>
    </cacheField>
    <cacheField name="affected_service" numFmtId="0">
      <sharedItems/>
    </cacheField>
    <cacheField name="summary" numFmtId="0">
      <sharedItems/>
    </cacheField>
    <cacheField name="description" numFmtId="0">
      <sharedItems/>
    </cacheField>
    <cacheField name="escalated" numFmtId="0">
      <sharedItems/>
    </cacheField>
    <cacheField name="outage_rela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4-01-01T00:25:58"/>
    <d v="1899-12-31T17:08:00"/>
    <x v="0"/>
    <x v="0"/>
    <x v="0"/>
    <x v="0"/>
    <x v="0"/>
    <n v="8"/>
    <s v="Finance"/>
    <s v="business-apps"/>
    <s v="New Zebra printer not visible to shipping station."/>
    <s v="New Zebra printer not visible to shipping station. Reported by Danielle from HR."/>
    <b v="0"/>
    <b v="0"/>
  </r>
  <r>
    <n v="2"/>
    <d v="2024-01-01T03:18:47"/>
    <d v="2024-01-01T10:41:37"/>
    <x v="1"/>
    <x v="1"/>
    <x v="0"/>
    <x v="0"/>
    <x v="1"/>
    <n v="5"/>
    <s v="Warehouse"/>
    <s v="voice"/>
    <s v="Sales laptop webcam missing from device manager."/>
    <s v="Sales laptop webcam missing from device manager. Reported by Angel from Warehouse."/>
    <b v="0"/>
    <b v="0"/>
  </r>
  <r>
    <n v="3"/>
    <d v="2024-01-01T05:00:04"/>
    <d v="2024-01-01T07:14:00"/>
    <x v="2"/>
    <x v="2"/>
    <x v="0"/>
    <x v="1"/>
    <x v="2"/>
    <n v="2"/>
    <s v="IT"/>
    <s v="saas"/>
    <s v="Outlook keeps prompting for password on Mac."/>
    <s v="Outlook keeps prompting for password on Mac. Reported by Joshua from Warehouse."/>
    <b v="0"/>
    <b v="0"/>
  </r>
  <r>
    <n v="4"/>
    <d v="2024-01-01T06:54:27"/>
    <d v="2024-01-01T13:53:34"/>
    <x v="3"/>
    <x v="1"/>
    <x v="0"/>
    <x v="2"/>
    <x v="3"/>
    <n v="10"/>
    <s v="IT"/>
    <s v="security"/>
    <s v="VPN disconnects every 15 minutes on hotel Wi-Fi."/>
    <s v="VPN disconnects every 15 minutes on hotel Wi-Fi. Reported by Jeffrey from Sales."/>
    <b v="0"/>
    <b v="0"/>
  </r>
  <r>
    <n v="5"/>
    <d v="2024-01-01T07:51:13"/>
    <d v="2024-01-01T09:57:49"/>
    <x v="4"/>
    <x v="1"/>
    <x v="0"/>
    <x v="1"/>
    <x v="4"/>
    <n v="2"/>
    <s v="Finance"/>
    <s v="network"/>
    <s v="Spam burst hit shared support inbox this morning."/>
    <s v="Spam burst hit shared support inbox this morning. Reported by Jill from Operations."/>
    <b v="0"/>
    <b v="0"/>
  </r>
  <r>
    <n v="6"/>
    <d v="2024-01-01T09:53:23"/>
    <d v="2024-01-01T15:30:29"/>
    <x v="5"/>
    <x v="1"/>
    <x v="0"/>
    <x v="3"/>
    <x v="2"/>
    <n v="1"/>
    <s v="Sales"/>
    <s v="saas"/>
    <s v="Intune enrollment stuck on compliance evaluation."/>
    <s v="Intune enrollment stuck on compliance evaluation. Reported by Erica from Warehouse."/>
    <b v="0"/>
    <b v="0"/>
  </r>
  <r>
    <n v="7"/>
    <d v="2024-01-01T12:24:14"/>
    <d v="2024-01-02T05:11:42"/>
    <x v="6"/>
    <x v="2"/>
    <x v="0"/>
    <x v="0"/>
    <x v="4"/>
    <n v="4"/>
    <s v="Operations"/>
    <s v="network"/>
    <s v="Customer portal SSO redirects to blank page."/>
    <s v="Customer portal SSO redirects to blank page. Reported by Patricia from HR."/>
    <b v="0"/>
    <b v="0"/>
  </r>
  <r>
    <n v="8"/>
    <d v="2024-01-01T14:32:50"/>
    <d v="2024-01-01T18:51:25"/>
    <x v="7"/>
    <x v="1"/>
    <x v="1"/>
    <x v="1"/>
    <x v="0"/>
    <n v="2"/>
    <s v="Operations"/>
    <s v="business-apps"/>
    <s v="Voicemail transcription unavailable in mobile app."/>
    <s v="Voicemail transcription unavailable in mobile app. Reported by Christopher from Warehouse."/>
    <b v="0"/>
    <b v="0"/>
  </r>
  <r>
    <n v="9"/>
    <d v="2024-01-01T16:12:59"/>
    <d v="2024-01-01T18:17:43"/>
    <x v="8"/>
    <x v="1"/>
    <x v="0"/>
    <x v="0"/>
    <x v="5"/>
    <n v="6"/>
    <s v="Warehouse"/>
    <s v="endpoint"/>
    <s v="Teams meeting room camera flickers after restart."/>
    <s v="Teams meeting room camera flickers after restart. Reported by Robert from Operations."/>
    <b v="0"/>
    <b v="0"/>
  </r>
  <r>
    <n v="10"/>
    <d v="2024-01-01T21:41:58"/>
    <d v="2024-01-01T23:34:38"/>
    <x v="9"/>
    <x v="0"/>
    <x v="1"/>
    <x v="0"/>
    <x v="0"/>
    <n v="5"/>
    <s v="Sales"/>
    <s v="business-apps"/>
    <s v="BitLocker recovery key prompt appears at boot."/>
    <s v="BitLocker recovery key prompt appears at boot. Reported by Anthony from Operations."/>
    <b v="0"/>
    <b v="0"/>
  </r>
  <r>
    <n v="11"/>
    <d v="2024-01-01T22:23:42"/>
    <d v="2024-01-02T01:15:15"/>
    <x v="10"/>
    <x v="1"/>
    <x v="2"/>
    <x v="0"/>
    <x v="3"/>
    <n v="10"/>
    <s v="Finance"/>
    <s v="security"/>
    <s v="Docking station no longer drives dual monitors."/>
    <s v="Docking station no longer drives dual monitors. Reported by Jeffery from HR."/>
    <b v="0"/>
    <b v="0"/>
  </r>
  <r>
    <n v="12"/>
    <d v="2024-01-02T05:52:07"/>
    <d v="2024-01-02T14:25:57"/>
    <x v="11"/>
    <x v="2"/>
    <x v="0"/>
    <x v="0"/>
    <x v="5"/>
    <n v="2"/>
    <s v="Finance"/>
    <s v="endpoint"/>
    <s v="Scanner cradle not charging overnight."/>
    <s v="Scanner cradle not charging overnight. Reported by William from Finance."/>
    <b v="0"/>
    <b v="0"/>
  </r>
  <r>
    <n v="13"/>
    <d v="2024-01-02T06:44:01"/>
    <d v="2024-01-03T00:54:53"/>
    <x v="10"/>
    <x v="2"/>
    <x v="2"/>
    <x v="2"/>
    <x v="3"/>
    <n v="3"/>
    <s v="Sales"/>
    <s v="security"/>
    <s v="Scanner firmware update broke keyboard wedge mode."/>
    <s v="Scanner firmware update broke keyboard wedge mode. Reported by Anthony from Operations."/>
    <b v="0"/>
    <b v="0"/>
  </r>
  <r>
    <n v="14"/>
    <d v="2024-01-02T11:55:44"/>
    <d v="2024-01-02T18:28:30"/>
    <x v="12"/>
    <x v="1"/>
    <x v="0"/>
    <x v="1"/>
    <x v="3"/>
    <n v="7"/>
    <s v="HR"/>
    <s v="security"/>
    <s v="MFA push not arriving on replacement phone."/>
    <s v="MFA push not arriving on replacement phone. Reported by James from Finance."/>
    <b v="0"/>
    <b v="0"/>
  </r>
  <r>
    <n v="15"/>
    <d v="2024-01-02T15:17:15"/>
    <d v="2024-01-03T05:35:44"/>
    <x v="10"/>
    <x v="2"/>
    <x v="2"/>
    <x v="2"/>
    <x v="6"/>
    <n v="7"/>
    <s v="HR"/>
    <s v="identity"/>
    <s v="Voicemail transcription unavailable in mobile app."/>
    <s v="Voicemail transcription unavailable in mobile app. Reported by Debra from Warehouse."/>
    <b v="0"/>
    <b v="0"/>
  </r>
  <r>
    <n v="16"/>
    <d v="2024-01-02T17:03:08"/>
    <d v="2024-01-02T19:52:44"/>
    <x v="13"/>
    <x v="1"/>
    <x v="0"/>
    <x v="2"/>
    <x v="7"/>
    <n v="4"/>
    <s v="Operations"/>
    <s v="peripherals"/>
    <s v="New Zebra printer not visible to shipping station."/>
    <s v="New Zebra printer not visible to shipping station. Reported by Amy from Operations."/>
    <b v="0"/>
    <b v="0"/>
  </r>
  <r>
    <n v="17"/>
    <d v="2024-01-02T18:07:18"/>
    <d v="2024-01-03T00:29:59"/>
    <x v="14"/>
    <x v="2"/>
    <x v="1"/>
    <x v="1"/>
    <x v="2"/>
    <n v="10"/>
    <s v="IT"/>
    <s v="saas"/>
    <s v="Printer on dock 4 is stuck in offline state."/>
    <s v="Printer on dock 4 is stuck in offline state. Reported by Jeffrey from Warehouse."/>
    <b v="0"/>
    <b v="0"/>
  </r>
  <r>
    <n v="18"/>
    <d v="2024-01-02T18:24:10"/>
    <d v="2024-01-02T19:33:15"/>
    <x v="15"/>
    <x v="0"/>
    <x v="0"/>
    <x v="1"/>
    <x v="7"/>
    <n v="9"/>
    <s v="IT"/>
    <s v="peripherals"/>
    <s v="Spam burst hit shared support inbox this morning."/>
    <s v="Spam burst hit shared support inbox this morning. Reported by Bridget from Finance."/>
    <b v="0"/>
    <b v="0"/>
  </r>
  <r>
    <n v="19"/>
    <d v="2024-01-02T20:54:29"/>
    <d v="2024-01-02T23:22:57"/>
    <x v="16"/>
    <x v="1"/>
    <x v="0"/>
    <x v="3"/>
    <x v="4"/>
    <n v="7"/>
    <s v="Finance"/>
    <s v="network"/>
    <s v="Teams channels inaccessible during tenant incident."/>
    <s v="Teams channels inaccessible during tenant incident. Reported by Lisa from Warehouse."/>
    <b v="0"/>
    <b v="0"/>
  </r>
  <r>
    <n v="20"/>
    <d v="2024-01-02T21:33:28"/>
    <d v="2024-01-03T03:40:39"/>
    <x v="10"/>
    <x v="2"/>
    <x v="3"/>
    <x v="1"/>
    <x v="5"/>
    <n v="8"/>
    <s v="Operations"/>
    <s v="endpoint"/>
    <s v="SSO certificate warning shown on benefits portal."/>
    <s v="SSO certificate warning shown on benefits portal. Reported by Adam from HR."/>
    <b v="0"/>
    <b v="0"/>
  </r>
  <r>
    <n v="21"/>
    <d v="2024-01-02T22:38:33"/>
    <d v="2024-01-03T14:38:17"/>
    <x v="10"/>
    <x v="2"/>
    <x v="3"/>
    <x v="0"/>
    <x v="4"/>
    <n v="6"/>
    <s v="HR"/>
    <s v="network"/>
    <s v="Scanner firmware update broke keyboard wedge mode."/>
    <s v="Scanner firmware update broke keyboard wedge mode. Reported by Linda from Warehouse."/>
    <b v="1"/>
    <b v="0"/>
  </r>
  <r>
    <n v="22"/>
    <d v="2024-01-03T01:22:15"/>
    <d v="2024-01-03T19:42:08"/>
    <x v="17"/>
    <x v="2"/>
    <x v="0"/>
    <x v="2"/>
    <x v="5"/>
    <n v="5"/>
    <s v="Sales"/>
    <s v="endpoint"/>
    <s v="Scanner firmware update broke keyboard wedge mode."/>
    <s v="Scanner firmware update broke keyboard wedge mode. Reported by Helen from Warehouse."/>
    <b v="0"/>
    <b v="0"/>
  </r>
  <r>
    <n v="23"/>
    <d v="2024-01-03T02:48:31"/>
    <d v="2024-01-03T05:39:20"/>
    <x v="18"/>
    <x v="2"/>
    <x v="0"/>
    <x v="2"/>
    <x v="2"/>
    <n v="6"/>
    <s v="Finance"/>
    <s v="saas"/>
    <s v="Warehouse RF gun drops Wi-Fi in aisle B."/>
    <s v="Warehouse RF gun drops Wi-Fi in aisle B. Reported by Matthew from HR."/>
    <b v="0"/>
    <b v="0"/>
  </r>
  <r>
    <n v="24"/>
    <d v="2024-01-03T03:32:59"/>
    <d v="2024-01-03T10:35:07"/>
    <x v="10"/>
    <x v="2"/>
    <x v="3"/>
    <x v="0"/>
    <x v="3"/>
    <n v="9"/>
    <s v="Warehouse"/>
    <s v="security"/>
    <s v="VPN fails only for users in Phoenix office."/>
    <s v="VPN fails only for users in Phoenix office. Reported by Eric from Operations."/>
    <b v="0"/>
    <b v="0"/>
  </r>
  <r>
    <n v="25"/>
    <d v="2024-01-03T06:08:31"/>
    <d v="2024-01-03T21:14:50"/>
    <x v="19"/>
    <x v="2"/>
    <x v="0"/>
    <x v="1"/>
    <x v="3"/>
    <n v="1"/>
    <s v="HR"/>
    <s v="security"/>
    <s v="Barcode labels printing with incorrect dimensions."/>
    <s v="Barcode labels printing with incorrect dimensions. Reported by Susan from Operations."/>
    <b v="0"/>
    <b v="0"/>
  </r>
  <r>
    <n v="26"/>
    <d v="2024-01-03T10:48:50"/>
    <d v="2024-01-03T18:40:06"/>
    <x v="20"/>
    <x v="1"/>
    <x v="0"/>
    <x v="3"/>
    <x v="5"/>
    <n v="2"/>
    <s v="Operations"/>
    <s v="endpoint"/>
    <s v="ERP purchase order screen timing out for AP team."/>
    <s v="ERP purchase order screen timing out for AP team. Reported by Matthew from Operations."/>
    <b v="0"/>
    <b v="0"/>
  </r>
  <r>
    <n v="27"/>
    <d v="2024-01-03T12:16:11"/>
    <d v="2024-01-03T19:57:38"/>
    <x v="21"/>
    <x v="1"/>
    <x v="0"/>
    <x v="3"/>
    <x v="0"/>
    <n v="5"/>
    <s v="IT"/>
    <s v="business-apps"/>
    <s v="Email quarantine released but message still missing."/>
    <s v="Email quarantine released but message still missing. Reported by Christopher from Operations."/>
    <b v="1"/>
    <b v="0"/>
  </r>
  <r>
    <n v="28"/>
    <d v="2024-01-03T12:58:52"/>
    <d v="2024-01-03T23:24:33"/>
    <x v="22"/>
    <x v="2"/>
    <x v="0"/>
    <x v="0"/>
    <x v="6"/>
    <n v="6"/>
    <s v="HR"/>
    <s v="identity"/>
    <s v="New Zebra printer not visible to shipping station."/>
    <s v="New Zebra printer not visible to shipping station. Reported by Colin from Sales."/>
    <b v="0"/>
    <b v="0"/>
  </r>
  <r>
    <n v="29"/>
    <d v="2024-01-03T13:05:08"/>
    <d v="2024-01-03T20:53:01"/>
    <x v="23"/>
    <x v="1"/>
    <x v="0"/>
    <x v="0"/>
    <x v="6"/>
    <n v="2"/>
    <s v="IT"/>
    <s v="identity"/>
    <s v="Label printer feeds blank stock after maintenance."/>
    <s v="Label printer feeds blank stock after maintenance. Reported by Melanie from Finance."/>
    <b v="0"/>
    <b v="0"/>
  </r>
  <r>
    <n v="30"/>
    <d v="2024-01-03T14:36:59"/>
    <d v="2024-01-04T06:36:15"/>
    <x v="24"/>
    <x v="2"/>
    <x v="0"/>
    <x v="0"/>
    <x v="7"/>
    <n v="7"/>
    <s v="IT"/>
    <s v="peripherals"/>
    <s v="Power BI refresh failing after service account rotation."/>
    <s v="Power BI refresh failing after service account rotation. Reported by Cassandra from Sales."/>
    <b v="0"/>
    <b v="0"/>
  </r>
  <r>
    <n v="31"/>
    <d v="2024-01-03T17:08:04"/>
    <d v="2024-01-03T23:20:21"/>
    <x v="25"/>
    <x v="1"/>
    <x v="0"/>
    <x v="1"/>
    <x v="4"/>
    <n v="1"/>
    <s v="Warehouse"/>
    <s v="network"/>
    <s v="Single sign-on to HRIS returns invalid relay state."/>
    <s v="Single sign-on to HRIS returns invalid relay state. Reported by Lindsay from Warehouse."/>
    <b v="0"/>
    <b v="0"/>
  </r>
  <r>
    <n v="32"/>
    <d v="2024-01-03T17:44:59"/>
    <d v="2024-01-04T00:24:09"/>
    <x v="26"/>
    <x v="1"/>
    <x v="0"/>
    <x v="2"/>
    <x v="7"/>
    <n v="3"/>
    <s v="Operations"/>
    <s v="peripherals"/>
    <s v="Email signatures disappeared for sales team."/>
    <s v="Email signatures disappeared for sales team. Reported by Jessica from Operations."/>
    <b v="0"/>
    <b v="0"/>
  </r>
  <r>
    <n v="33"/>
    <d v="2024-01-03T18:58:55"/>
    <d v="2024-01-03T20:46:51"/>
    <x v="27"/>
    <x v="1"/>
    <x v="0"/>
    <x v="1"/>
    <x v="5"/>
    <n v="5"/>
    <s v="Sales"/>
    <s v="endpoint"/>
    <s v="Teams calls dropping audio after two minutes."/>
    <s v="Teams calls dropping audio after two minutes. Reported by Amanda from Sales."/>
    <b v="0"/>
    <b v="0"/>
  </r>
  <r>
    <n v="34"/>
    <d v="2024-01-03T20:19:32"/>
    <d v="2024-01-04T10:31:28"/>
    <x v="28"/>
    <x v="2"/>
    <x v="0"/>
    <x v="3"/>
    <x v="6"/>
    <n v="1"/>
    <s v="Warehouse"/>
    <s v="identity"/>
    <s v="Conference room display shows no HDMI signal."/>
    <s v="Conference room display shows no HDMI signal. Reported by Teresa from HR."/>
    <b v="0"/>
    <b v="0"/>
  </r>
  <r>
    <n v="35"/>
    <d v="2024-01-03T20:40:18"/>
    <d v="2024-01-03T21:20:03"/>
    <x v="29"/>
    <x v="3"/>
    <x v="0"/>
    <x v="0"/>
    <x v="7"/>
    <n v="7"/>
    <s v="HR"/>
    <s v="peripherals"/>
    <s v="ERP purchase order screen timing out for AP team."/>
    <s v="ERP purchase order screen timing out for AP team. Reported by Nicholas from Operations."/>
    <b v="1"/>
    <b v="0"/>
  </r>
  <r>
    <n v="36"/>
    <d v="2024-01-03T20:46:51"/>
    <d v="2024-01-04T01:36:29"/>
    <x v="30"/>
    <x v="2"/>
    <x v="0"/>
    <x v="0"/>
    <x v="5"/>
    <n v="6"/>
    <s v="HR"/>
    <s v="endpoint"/>
    <s v="Intune enrollment stuck on compliance evaluation."/>
    <s v="Intune enrollment stuck on compliance evaluation. Reported by Andrea from Finance."/>
    <b v="0"/>
    <b v="0"/>
  </r>
  <r>
    <n v="37"/>
    <d v="2024-01-03T21:02:34"/>
    <d v="2024-01-03T22:26:55"/>
    <x v="31"/>
    <x v="0"/>
    <x v="1"/>
    <x v="1"/>
    <x v="6"/>
    <n v="6"/>
    <s v="Sales"/>
    <s v="identity"/>
    <s v="Excel add-in blocked by security policy."/>
    <s v="Excel add-in blocked by security policy. Reported by Maria from Finance."/>
    <b v="0"/>
    <b v="0"/>
  </r>
  <r>
    <n v="38"/>
    <d v="2024-01-04T02:43:25"/>
    <d v="2024-01-04T05:09:24"/>
    <x v="32"/>
    <x v="1"/>
    <x v="0"/>
    <x v="0"/>
    <x v="3"/>
    <n v="6"/>
    <s v="Operations"/>
    <s v="security"/>
    <s v="Single sign-on to HRIS returns invalid relay state."/>
    <s v="Single sign-on to HRIS returns invalid relay state. Reported by Christine from Warehouse."/>
    <b v="0"/>
    <b v="0"/>
  </r>
  <r>
    <n v="39"/>
    <d v="2024-01-04T04:32:32"/>
    <d v="2024-01-04T16:56:27"/>
    <x v="33"/>
    <x v="2"/>
    <x v="0"/>
    <x v="2"/>
    <x v="7"/>
    <n v="7"/>
    <s v="IT"/>
    <s v="peripherals"/>
    <s v="User cannot map shared drive from new laptop."/>
    <s v="User cannot map shared drive from new laptop. Reported by Michelle from Warehouse."/>
    <b v="0"/>
    <b v="0"/>
  </r>
  <r>
    <n v="40"/>
    <d v="2024-01-04T06:56:40"/>
    <d v="2024-01-04T10:59:59"/>
    <x v="34"/>
    <x v="1"/>
    <x v="1"/>
    <x v="2"/>
    <x v="1"/>
    <n v="7"/>
    <s v="HR"/>
    <s v="voice"/>
    <s v="VPN fails only for users in Phoenix office."/>
    <s v="VPN fails only for users in Phoenix office. Reported by Barbara from Sales."/>
    <b v="0"/>
    <b v="0"/>
  </r>
  <r>
    <n v="41"/>
    <d v="2024-01-04T09:15:21"/>
    <d v="2024-01-04T11:31:36"/>
    <x v="35"/>
    <x v="2"/>
    <x v="0"/>
    <x v="2"/>
    <x v="0"/>
    <n v="7"/>
    <s v="Finance"/>
    <s v="business-apps"/>
    <s v="VPN disconnects every 15 minutes on hotel Wi-Fi."/>
    <s v="VPN disconnects every 15 minutes on hotel Wi-Fi. Reported by Janet from Sales."/>
    <b v="0"/>
    <b v="0"/>
  </r>
  <r>
    <n v="42"/>
    <d v="2024-01-04T09:29:46"/>
    <d v="2024-01-04T11:21:44"/>
    <x v="36"/>
    <x v="0"/>
    <x v="0"/>
    <x v="3"/>
    <x v="2"/>
    <n v="3"/>
    <s v="Sales"/>
    <s v="saas"/>
    <s v="Conditional access policy locked out break-glass account."/>
    <s v="Conditional access policy locked out break-glass account. Reported by Brandon from Operations."/>
    <b v="0"/>
    <b v="0"/>
  </r>
  <r>
    <n v="43"/>
    <d v="2024-01-04T10:42:12"/>
    <d v="2024-01-04T17:37:24"/>
    <x v="37"/>
    <x v="1"/>
    <x v="1"/>
    <x v="0"/>
    <x v="7"/>
    <n v="7"/>
    <s v="Operations"/>
    <s v="peripherals"/>
    <s v="Conference room display shows no HDMI signal."/>
    <s v="Conference room display shows no HDMI signal. Reported by Jeremy from Finance."/>
    <b v="0"/>
    <b v="0"/>
  </r>
  <r>
    <n v="44"/>
    <d v="2024-01-04T14:12:58"/>
    <d v="2024-01-04T15:21:01"/>
    <x v="38"/>
    <x v="1"/>
    <x v="0"/>
    <x v="2"/>
    <x v="3"/>
    <n v="2"/>
    <s v="IT"/>
    <s v="security"/>
    <s v="Conditional access policy locked out break-glass account."/>
    <s v="Conditional access policy locked out break-glass account. Reported by Keith from Finance."/>
    <b v="0"/>
    <b v="0"/>
  </r>
  <r>
    <n v="45"/>
    <d v="2024-01-04T14:32:52"/>
    <d v="2024-01-05T03:19:54"/>
    <x v="39"/>
    <x v="2"/>
    <x v="0"/>
    <x v="3"/>
    <x v="7"/>
    <n v="1"/>
    <s v="Operations"/>
    <s v="peripherals"/>
    <s v="Suspicious login alert triggered for finance user."/>
    <s v="Suspicious login alert triggered for finance user. Reported by Christopher from Sales."/>
    <b v="0"/>
    <b v="0"/>
  </r>
  <r>
    <n v="46"/>
    <d v="2024-01-04T15:10:48"/>
    <d v="2024-01-04T17:31:14"/>
    <x v="10"/>
    <x v="0"/>
    <x v="2"/>
    <x v="0"/>
    <x v="4"/>
    <n v="10"/>
    <s v="Finance"/>
    <s v="network"/>
    <s v="ERP purchase order screen timing out for AP team."/>
    <s v="ERP purchase order screen timing out for AP team. Reported by Jesse from Warehouse."/>
    <b v="0"/>
    <b v="0"/>
  </r>
  <r>
    <n v="47"/>
    <d v="2024-01-04T15:14:55"/>
    <d v="2024-01-04T20:37:28"/>
    <x v="40"/>
    <x v="1"/>
    <x v="0"/>
    <x v="1"/>
    <x v="1"/>
    <n v="2"/>
    <s v="Warehouse"/>
    <s v="voice"/>
    <s v="Mailbox forwarding rule recreated after removal."/>
    <s v="Mailbox forwarding rule recreated after removal. Reported by Craig from Operations."/>
    <b v="0"/>
    <b v="0"/>
  </r>
  <r>
    <n v="48"/>
    <d v="2024-01-04T15:15:48"/>
    <d v="2024-01-04T18:04:27"/>
    <x v="41"/>
    <x v="1"/>
    <x v="1"/>
    <x v="3"/>
    <x v="7"/>
    <n v="2"/>
    <s v="IT"/>
    <s v="peripherals"/>
    <s v="Teams calls dropping audio after two minutes."/>
    <s v="Teams calls dropping audio after two minutes. Reported by Joshua from Finance."/>
    <b v="0"/>
    <b v="0"/>
  </r>
  <r>
    <n v="49"/>
    <d v="2024-01-04T15:33:33"/>
    <d v="2024-01-04T21:55:24"/>
    <x v="42"/>
    <x v="2"/>
    <x v="0"/>
    <x v="0"/>
    <x v="1"/>
    <n v="4"/>
    <s v="Sales"/>
    <s v="voice"/>
    <s v="Password reset loop continues after successful change."/>
    <s v="Password reset loop continues after successful change. Reported by Cynthia from HR."/>
    <b v="0"/>
    <b v="0"/>
  </r>
  <r>
    <n v="50"/>
    <d v="2024-01-04T16:27:18"/>
    <d v="2024-01-05T09:44:10"/>
    <x v="43"/>
    <x v="2"/>
    <x v="0"/>
    <x v="0"/>
    <x v="0"/>
    <n v="10"/>
    <s v="HR"/>
    <s v="business-apps"/>
    <s v="Password reset loop continues after successful change."/>
    <s v="Password reset loop continues after successful change. Reported by Michael from Warehouse."/>
    <b v="0"/>
    <b v="0"/>
  </r>
  <r>
    <n v="51"/>
    <d v="2024-01-04T16:49:11"/>
    <d v="2024-01-05T04:53:16"/>
    <x v="44"/>
    <x v="2"/>
    <x v="0"/>
    <x v="0"/>
    <x v="2"/>
    <n v="9"/>
    <s v="HR"/>
    <s v="saas"/>
    <s v="Scanner firmware update broke keyboard wedge mode."/>
    <s v="Scanner firmware update broke keyboard wedge mode. Reported by Mitchell from Operations."/>
    <b v="0"/>
    <b v="0"/>
  </r>
  <r>
    <n v="52"/>
    <d v="2024-01-04T21:22:56"/>
    <d v="2024-01-05T01:49:43"/>
    <x v="45"/>
    <x v="1"/>
    <x v="0"/>
    <x v="0"/>
    <x v="3"/>
    <n v="8"/>
    <s v="IT"/>
    <s v="security"/>
    <s v="ERP role request approved but not applied."/>
    <s v="ERP role request approved but not applied. Reported by Jason from Warehouse."/>
    <b v="0"/>
    <b v="0"/>
  </r>
  <r>
    <n v="53"/>
    <d v="2024-01-04T21:53:30"/>
    <d v="2024-01-05T03:10:52"/>
    <x v="46"/>
    <x v="1"/>
    <x v="1"/>
    <x v="0"/>
    <x v="0"/>
    <n v="2"/>
    <s v="Sales"/>
    <s v="business-apps"/>
    <s v="Spam burst hit shared support inbox this morning."/>
    <s v="Spam burst hit shared support inbox this morning. Reported by Joseph from Sales."/>
    <b v="0"/>
    <b v="0"/>
  </r>
  <r>
    <n v="54"/>
    <d v="2024-01-04T22:49:50"/>
    <d v="2024-01-05T17:46:02"/>
    <x v="47"/>
    <x v="2"/>
    <x v="1"/>
    <x v="0"/>
    <x v="3"/>
    <n v="7"/>
    <s v="Sales"/>
    <s v="security"/>
    <s v="Slack notifications delayed for customer support queue."/>
    <s v="Slack notifications delayed for customer support queue. Reported by Sharon from Operations."/>
    <b v="0"/>
    <b v="0"/>
  </r>
  <r>
    <n v="55"/>
    <d v="2024-01-05T00:07:49"/>
    <d v="2024-01-05T13:37:46"/>
    <x v="48"/>
    <x v="2"/>
    <x v="0"/>
    <x v="2"/>
    <x v="1"/>
    <n v="9"/>
    <s v="Finance"/>
    <s v="voice"/>
    <s v="VPN client update failed with rollback error."/>
    <s v="VPN client update failed with rollback error. Reported by Deborah from Warehouse."/>
    <b v="0"/>
    <b v="0"/>
  </r>
  <r>
    <n v="56"/>
    <d v="2024-01-05T00:21:50"/>
    <d v="2024-01-05T17:34:26"/>
    <x v="49"/>
    <x v="2"/>
    <x v="0"/>
    <x v="1"/>
    <x v="4"/>
    <n v="4"/>
    <s v="Finance"/>
    <s v="network"/>
    <s v="Warehouse scanner will not sync picks to WMS."/>
    <s v="Warehouse scanner will not sync picks to WMS. Reported by Chelsea from Finance."/>
    <b v="0"/>
    <b v="0"/>
  </r>
  <r>
    <n v="57"/>
    <d v="2024-01-05T00:40:47"/>
    <d v="2024-01-05T10:16:48"/>
    <x v="50"/>
    <x v="2"/>
    <x v="0"/>
    <x v="0"/>
    <x v="5"/>
    <n v="3"/>
    <s v="Sales"/>
    <s v="endpoint"/>
    <s v="Scanner cradle not charging overnight."/>
    <s v="Scanner cradle not charging overnight. Reported by George from HR."/>
    <b v="0"/>
    <b v="0"/>
  </r>
  <r>
    <n v="58"/>
    <d v="2024-01-05T01:12:44"/>
    <d v="2024-01-05T19:28:31"/>
    <x v="51"/>
    <x v="2"/>
    <x v="0"/>
    <x v="2"/>
    <x v="5"/>
    <n v="9"/>
    <s v="Finance"/>
    <s v="endpoint"/>
    <s v="ERP role request approved but not applied."/>
    <s v="ERP role request approved but not applied. Reported by Jessica from Sales."/>
    <b v="1"/>
    <b v="0"/>
  </r>
  <r>
    <n v="59"/>
    <d v="2024-01-05T01:19:54"/>
    <d v="2024-01-05T04:02:13"/>
    <x v="52"/>
    <x v="0"/>
    <x v="0"/>
    <x v="0"/>
    <x v="0"/>
    <n v="2"/>
    <s v="IT"/>
    <s v="business-apps"/>
    <s v="New Zebra printer not visible to shipping station."/>
    <s v="New Zebra printer not visible to shipping station. Reported by Frank from Warehouse."/>
    <b v="0"/>
    <b v="0"/>
  </r>
  <r>
    <n v="60"/>
    <d v="2024-01-05T01:47:50"/>
    <d v="2024-01-05T02:59:28"/>
    <x v="53"/>
    <x v="1"/>
    <x v="0"/>
    <x v="1"/>
    <x v="3"/>
    <n v="10"/>
    <s v="Sales"/>
    <s v="security"/>
    <s v="VPN fails only for users in Phoenix office."/>
    <s v="VPN fails only for users in Phoenix office. Reported by Noah from Operations."/>
    <b v="0"/>
    <b v="0"/>
  </r>
  <r>
    <n v="61"/>
    <d v="2024-01-05T02:17:16"/>
    <d v="2024-01-05T19:50:18"/>
    <x v="54"/>
    <x v="2"/>
    <x v="0"/>
    <x v="0"/>
    <x v="1"/>
    <n v="5"/>
    <s v="Finance"/>
    <s v="voice"/>
    <s v="VPN fails only for users in Phoenix office."/>
    <s v="VPN fails only for users in Phoenix office. Reported by Veronica from Operations."/>
    <b v="0"/>
    <b v="0"/>
  </r>
  <r>
    <n v="62"/>
    <d v="2024-01-05T03:46:33"/>
    <d v="2024-01-05T10:02:14"/>
    <x v="55"/>
    <x v="1"/>
    <x v="0"/>
    <x v="0"/>
    <x v="6"/>
    <n v="8"/>
    <s v="Warehouse"/>
    <s v="identity"/>
    <s v="Single sign-on to HRIS returns invalid relay state."/>
    <s v="Single sign-on to HRIS returns invalid relay state. Reported by Danielle from Warehouse."/>
    <b v="0"/>
    <b v="0"/>
  </r>
  <r>
    <n v="63"/>
    <d v="2024-01-05T04:10:23"/>
    <d v="2024-01-05T10:26:27"/>
    <x v="56"/>
    <x v="1"/>
    <x v="0"/>
    <x v="3"/>
    <x v="6"/>
    <n v="4"/>
    <s v="Sales"/>
    <s v="identity"/>
    <s v="Sales laptop webcam missing from device manager."/>
    <s v="Sales laptop webcam missing from device manager. Reported by Angela from Warehouse."/>
    <b v="0"/>
    <b v="0"/>
  </r>
  <r>
    <n v="64"/>
    <d v="2024-01-05T04:17:45"/>
    <d v="2024-01-05T07:55:33"/>
    <x v="57"/>
    <x v="1"/>
    <x v="0"/>
    <x v="1"/>
    <x v="7"/>
    <n v="8"/>
    <s v="Finance"/>
    <s v="peripherals"/>
    <s v="Suspicious login alert triggered for finance user."/>
    <s v="Suspicious login alert triggered for finance user. Reported by Gabrielle from Operations."/>
    <b v="0"/>
    <b v="0"/>
  </r>
  <r>
    <n v="65"/>
    <d v="2024-01-05T04:19:19"/>
    <d v="2024-01-05T10:44:13"/>
    <x v="10"/>
    <x v="1"/>
    <x v="3"/>
    <x v="2"/>
    <x v="4"/>
    <n v="10"/>
    <s v="IT"/>
    <s v="network"/>
    <s v="Conference room display shows no HDMI signal."/>
    <s v="Conference room display shows no HDMI signal. Reported by Megan from Finance."/>
    <b v="0"/>
    <b v="0"/>
  </r>
  <r>
    <n v="66"/>
    <d v="2024-01-05T04:42:47"/>
    <d v="2024-01-05T19:29:00"/>
    <x v="58"/>
    <x v="2"/>
    <x v="0"/>
    <x v="1"/>
    <x v="2"/>
    <n v="5"/>
    <s v="Sales"/>
    <s v="saas"/>
    <s v="Teams calls dropping audio after two minutes."/>
    <s v="Teams calls dropping audio after two minutes. Reported by Kimberly from HR."/>
    <b v="0"/>
    <b v="0"/>
  </r>
  <r>
    <n v="67"/>
    <d v="2024-01-05T05:26:24"/>
    <d v="2024-01-06T00:04:37"/>
    <x v="59"/>
    <x v="2"/>
    <x v="0"/>
    <x v="2"/>
    <x v="6"/>
    <n v="3"/>
    <s v="Operations"/>
    <s v="identity"/>
    <s v="Scanner cradle not charging overnight."/>
    <s v="Scanner cradle not charging overnight. Reported by Jeremy from Sales."/>
    <b v="1"/>
    <b v="0"/>
  </r>
  <r>
    <n v="68"/>
    <d v="2024-01-05T05:45:41"/>
    <d v="2024-01-05T06:48:45"/>
    <x v="60"/>
    <x v="0"/>
    <x v="0"/>
    <x v="0"/>
    <x v="6"/>
    <n v="1"/>
    <s v="Warehouse"/>
    <s v="identity"/>
    <s v="Spam burst hit shared support inbox this morning."/>
    <s v="Spam burst hit shared support inbox this morning. Reported by Antonio from Finance."/>
    <b v="1"/>
    <b v="0"/>
  </r>
  <r>
    <n v="69"/>
    <d v="2024-01-05T08:35:34"/>
    <d v="2024-01-05T14:39:27"/>
    <x v="61"/>
    <x v="1"/>
    <x v="0"/>
    <x v="2"/>
    <x v="0"/>
    <n v="10"/>
    <s v="Finance"/>
    <s v="business-apps"/>
    <s v="Scanner cradle not charging overnight."/>
    <s v="Scanner cradle not charging overnight. Reported by Leslie from Sales."/>
    <b v="1"/>
    <b v="0"/>
  </r>
  <r>
    <n v="70"/>
    <d v="2024-01-05T11:27:05"/>
    <d v="2024-01-05T12:22:42"/>
    <x v="62"/>
    <x v="3"/>
    <x v="0"/>
    <x v="1"/>
    <x v="7"/>
    <n v="10"/>
    <s v="IT"/>
    <s v="peripherals"/>
    <s v="CEO calendar delegate can no longer edit events."/>
    <s v="CEO calendar delegate can no longer edit events. Reported by Joseph from Operations."/>
    <b v="1"/>
    <b v="0"/>
  </r>
  <r>
    <n v="71"/>
    <d v="2024-01-05T13:04:48"/>
    <d v="2024-01-06T06:43:17"/>
    <x v="10"/>
    <x v="2"/>
    <x v="2"/>
    <x v="3"/>
    <x v="1"/>
    <n v="7"/>
    <s v="HR"/>
    <s v="voice"/>
    <s v="ERP role request approved but not applied."/>
    <s v="ERP role request approved but not applied. Reported by Jason from Sales."/>
    <b v="0"/>
    <b v="0"/>
  </r>
  <r>
    <n v="72"/>
    <d v="2024-01-05T13:15:00"/>
    <d v="2024-01-05T16:03:53"/>
    <x v="63"/>
    <x v="1"/>
    <x v="0"/>
    <x v="2"/>
    <x v="2"/>
    <n v="1"/>
    <s v="HR"/>
    <s v="saas"/>
    <s v="Cannot sign in to Okta after password reset."/>
    <s v="Cannot sign in to Okta after password reset. Reported by Sherri from Sales."/>
    <b v="0"/>
    <b v="0"/>
  </r>
  <r>
    <n v="73"/>
    <d v="2024-01-05T13:33:14"/>
    <d v="2024-01-05T17:46:06"/>
    <x v="10"/>
    <x v="1"/>
    <x v="3"/>
    <x v="2"/>
    <x v="7"/>
    <n v="9"/>
    <s v="Warehouse"/>
    <s v="peripherals"/>
    <s v="VPN outage reported by remote finance staff."/>
    <s v="VPN outage reported by remote finance staff. Reported by Nancy from Warehouse."/>
    <b v="0"/>
    <b v="0"/>
  </r>
  <r>
    <n v="74"/>
    <d v="2024-01-05T15:21:10"/>
    <d v="2024-01-05T18:35:06"/>
    <x v="64"/>
    <x v="1"/>
    <x v="0"/>
    <x v="1"/>
    <x v="3"/>
    <n v="5"/>
    <s v="HR"/>
    <s v="security"/>
    <s v="Intune enrollment stuck on compliance evaluation."/>
    <s v="Intune enrollment stuck on compliance evaluation. Reported by Leonard from Sales."/>
    <b v="0"/>
    <b v="0"/>
  </r>
  <r>
    <n v="75"/>
    <d v="2024-01-05T17:36:15"/>
    <d v="2024-01-05T23:38:32"/>
    <x v="65"/>
    <x v="1"/>
    <x v="1"/>
    <x v="1"/>
    <x v="2"/>
    <n v="3"/>
    <s v="Operations"/>
    <s v="saas"/>
    <s v="ERP purchase order screen timing out for AP team."/>
    <s v="ERP purchase order screen timing out for AP team. Reported by Diana from Finance."/>
    <b v="0"/>
    <b v="0"/>
  </r>
  <r>
    <n v="76"/>
    <d v="2024-01-05T18:32:43"/>
    <d v="2024-01-05T20:05:13"/>
    <x v="66"/>
    <x v="1"/>
    <x v="0"/>
    <x v="0"/>
    <x v="5"/>
    <n v="4"/>
    <s v="HR"/>
    <s v="endpoint"/>
    <s v="Power BI refresh failing after service account rotation."/>
    <s v="Power BI refresh failing after service account rotation. Reported by Randall from HR."/>
    <b v="0"/>
    <b v="0"/>
  </r>
  <r>
    <n v="77"/>
    <d v="2024-01-05T20:46:06"/>
    <d v="2024-01-06T01:51:37"/>
    <x v="67"/>
    <x v="2"/>
    <x v="0"/>
    <x v="2"/>
    <x v="3"/>
    <n v="10"/>
    <s v="Operations"/>
    <s v="security"/>
    <s v="Scanner firmware update broke keyboard wedge mode."/>
    <s v="Scanner firmware update broke keyboard wedge mode. Reported by Robin from Warehouse."/>
    <b v="0"/>
    <b v="0"/>
  </r>
  <r>
    <n v="78"/>
    <d v="2024-01-05T22:16:40"/>
    <d v="2024-01-06T01:28:28"/>
    <x v="10"/>
    <x v="1"/>
    <x v="2"/>
    <x v="0"/>
    <x v="6"/>
    <n v="8"/>
    <s v="IT"/>
    <s v="identity"/>
    <s v="Print queue stalled for shipping label batch."/>
    <s v="Print queue stalled for shipping label batch. Reported by Stephen from Finance."/>
    <b v="0"/>
    <b v="0"/>
  </r>
  <r>
    <n v="79"/>
    <d v="2024-01-05T23:37:13"/>
    <d v="2024-01-06T00:51:20"/>
    <x v="68"/>
    <x v="0"/>
    <x v="0"/>
    <x v="2"/>
    <x v="4"/>
    <n v="6"/>
    <s v="Sales"/>
    <s v="network"/>
    <s v="SSO certificate warning shown on benefits portal."/>
    <s v="SSO certificate warning shown on benefits portal. Reported by Joseph from HR."/>
    <b v="0"/>
    <b v="0"/>
  </r>
  <r>
    <n v="80"/>
    <d v="2024-01-06T00:17:50"/>
    <d v="2024-01-06T02:55:48"/>
    <x v="69"/>
    <x v="1"/>
    <x v="0"/>
    <x v="1"/>
    <x v="5"/>
    <n v="8"/>
    <s v="Sales"/>
    <s v="endpoint"/>
    <s v="Mailbox forwarding rule recreated after removal."/>
    <s v="Mailbox forwarding rule recreated after removal. Reported by John from Warehouse."/>
    <b v="0"/>
    <b v="0"/>
  </r>
  <r>
    <n v="81"/>
    <d v="2024-01-06T01:56:20"/>
    <d v="2024-01-06T04:19:44"/>
    <x v="70"/>
    <x v="1"/>
    <x v="0"/>
    <x v="0"/>
    <x v="7"/>
    <n v="9"/>
    <s v="IT"/>
    <s v="peripherals"/>
    <s v="Cannot sign in to Okta after password reset."/>
    <s v="Cannot sign in to Okta after password reset. Reported by Anna from Warehouse."/>
    <b v="0"/>
    <b v="0"/>
  </r>
  <r>
    <n v="82"/>
    <d v="2024-01-06T05:34:35"/>
    <d v="2024-01-06T12:36:11"/>
    <x v="71"/>
    <x v="1"/>
    <x v="0"/>
    <x v="2"/>
    <x v="4"/>
    <n v="7"/>
    <s v="Operations"/>
    <s v="network"/>
    <s v="Conference room display shows no HDMI signal."/>
    <s v="Conference room display shows no HDMI signal. Reported by Jose from Finance."/>
    <b v="1"/>
    <b v="0"/>
  </r>
  <r>
    <n v="83"/>
    <d v="2024-01-06T05:52:57"/>
    <d v="2024-01-06T16:22:41"/>
    <x v="72"/>
    <x v="2"/>
    <x v="0"/>
    <x v="0"/>
    <x v="4"/>
    <n v="4"/>
    <s v="HR"/>
    <s v="network"/>
    <s v="Docking station no longer drives dual monitors."/>
    <s v="Docking station no longer drives dual monitors. Reported by Brenda from Sales."/>
    <b v="0"/>
    <b v="0"/>
  </r>
  <r>
    <n v="84"/>
    <d v="2024-01-06T14:39:27"/>
    <d v="2024-01-06T21:20:50"/>
    <x v="10"/>
    <x v="1"/>
    <x v="2"/>
    <x v="0"/>
    <x v="7"/>
    <n v="1"/>
    <s v="Finance"/>
    <s v="peripherals"/>
    <s v="Citrix launch freezes on black screen."/>
    <s v="Citrix launch freezes on black screen. Reported by Rachael from Operations."/>
    <b v="0"/>
    <b v="0"/>
  </r>
  <r>
    <n v="85"/>
    <d v="2024-01-06T18:45:08"/>
    <d v="2024-01-07T00:16:00"/>
    <x v="73"/>
    <x v="2"/>
    <x v="0"/>
    <x v="1"/>
    <x v="4"/>
    <n v="2"/>
    <s v="Finance"/>
    <s v="network"/>
    <s v="CEO calendar delegate can no longer edit events."/>
    <s v="CEO calendar delegate can no longer edit events. Reported by Reginald from Warehouse."/>
    <b v="0"/>
    <b v="0"/>
  </r>
  <r>
    <n v="86"/>
    <d v="2024-01-06T21:35:45"/>
    <d v="2024-01-06T22:50:31"/>
    <x v="10"/>
    <x v="0"/>
    <x v="2"/>
    <x v="2"/>
    <x v="4"/>
    <n v="3"/>
    <s v="Warehouse"/>
    <s v="network"/>
    <s v="New hire missing access to onboarding portal."/>
    <s v="New hire missing access to onboarding portal. Reported by Jeffrey from Finance."/>
    <b v="0"/>
    <b v="0"/>
  </r>
  <r>
    <n v="87"/>
    <d v="2024-01-06T23:47:56"/>
    <d v="2024-01-07T11:11:11"/>
    <x v="74"/>
    <x v="2"/>
    <x v="0"/>
    <x v="1"/>
    <x v="2"/>
    <n v="8"/>
    <s v="Operations"/>
    <s v="saas"/>
    <s v="Teams calls dropping audio after two minutes."/>
    <s v="Teams calls dropping audio after two minutes. Reported by Whitney from Warehouse."/>
    <b v="0"/>
    <b v="0"/>
  </r>
  <r>
    <n v="88"/>
    <d v="2024-01-07T00:32:16"/>
    <d v="2024-01-07T04:06:43"/>
    <x v="75"/>
    <x v="1"/>
    <x v="0"/>
    <x v="2"/>
    <x v="6"/>
    <n v="1"/>
    <s v="IT"/>
    <s v="identity"/>
    <s v="Docking station no longer drives dual monitors."/>
    <s v="Docking station no longer drives dual monitors. Reported by William from Warehouse."/>
    <b v="1"/>
    <b v="0"/>
  </r>
  <r>
    <n v="89"/>
    <d v="2024-01-07T01:13:00"/>
    <d v="2024-01-07T08:11:46"/>
    <x v="76"/>
    <x v="1"/>
    <x v="0"/>
    <x v="1"/>
    <x v="1"/>
    <n v="2"/>
    <s v="HR"/>
    <s v="voice"/>
    <s v="Print queue stalled for shipping label batch."/>
    <s v="Print queue stalled for shipping label batch. Reported by Christopher from HR."/>
    <b v="0"/>
    <b v="0"/>
  </r>
  <r>
    <n v="90"/>
    <d v="2024-01-07T02:12:33"/>
    <d v="2024-01-07T07:21:04"/>
    <x v="77"/>
    <x v="1"/>
    <x v="0"/>
    <x v="0"/>
    <x v="1"/>
    <n v="10"/>
    <s v="Sales"/>
    <s v="voice"/>
    <s v="Procurement team reports ERP attachments missing."/>
    <s v="Procurement team reports ERP attachments missing. Reported by Brandon from Sales."/>
    <b v="0"/>
    <b v="0"/>
  </r>
  <r>
    <n v="91"/>
    <d v="2024-01-07T03:22:28"/>
    <d v="2024-01-07T09:07:52"/>
    <x v="10"/>
    <x v="1"/>
    <x v="2"/>
    <x v="2"/>
    <x v="7"/>
    <n v="5"/>
    <s v="Warehouse"/>
    <s v="peripherals"/>
    <s v="Excel add-in blocked by security policy."/>
    <s v="Excel add-in blocked by security policy. Reported by Daniel from Operations."/>
    <b v="0"/>
    <b v="0"/>
  </r>
  <r>
    <n v="92"/>
    <d v="2024-01-07T05:31:18"/>
    <d v="2024-01-07T09:25:28"/>
    <x v="78"/>
    <x v="1"/>
    <x v="1"/>
    <x v="0"/>
    <x v="6"/>
    <n v="2"/>
    <s v="Finance"/>
    <s v="identity"/>
    <s v="BitLocker recovery key prompt appears at boot."/>
    <s v="BitLocker recovery key prompt appears at boot. Reported by Courtney from Operations."/>
    <b v="0"/>
    <b v="0"/>
  </r>
  <r>
    <n v="93"/>
    <d v="2024-01-07T09:53:48"/>
    <d v="2024-01-07T22:12:06"/>
    <x v="79"/>
    <x v="2"/>
    <x v="0"/>
    <x v="1"/>
    <x v="2"/>
    <n v="9"/>
    <s v="IT"/>
    <s v="saas"/>
    <s v="MFA push not arriving on replacement phone."/>
    <s v="MFA push not arriving on replacement phone. Reported by Laura from Warehouse."/>
    <b v="0"/>
    <b v="0"/>
  </r>
  <r>
    <n v="94"/>
    <d v="2024-01-07T17:30:02"/>
    <d v="2024-01-07T23:00:04"/>
    <x v="80"/>
    <x v="1"/>
    <x v="1"/>
    <x v="2"/>
    <x v="4"/>
    <n v="10"/>
    <s v="IT"/>
    <s v="network"/>
    <s v="ERP role request approved but not applied."/>
    <s v="ERP role request approved but not applied. Reported by Robert from HR."/>
    <b v="0"/>
    <b v="0"/>
  </r>
  <r>
    <n v="95"/>
    <d v="2024-01-07T17:58:08"/>
    <d v="2024-01-08T05:19:51"/>
    <x v="81"/>
    <x v="2"/>
    <x v="0"/>
    <x v="0"/>
    <x v="5"/>
    <n v="6"/>
    <s v="IT"/>
    <s v="endpoint"/>
    <s v="VPN fails only for users in Phoenix office."/>
    <s v="VPN fails only for users in Phoenix office. Reported by Bryan from Warehouse."/>
    <b v="0"/>
    <b v="0"/>
  </r>
  <r>
    <n v="96"/>
    <d v="2024-01-07T18:14:17"/>
    <d v="2024-01-08T00:11:11"/>
    <x v="82"/>
    <x v="2"/>
    <x v="0"/>
    <x v="2"/>
    <x v="1"/>
    <n v="2"/>
    <s v="Warehouse"/>
    <s v="voice"/>
    <s v="Warehouse scanner will not sync picks to WMS."/>
    <s v="Warehouse scanner will not sync picks to WMS. Reported by Patrick from HR."/>
    <b v="0"/>
    <b v="0"/>
  </r>
  <r>
    <n v="97"/>
    <d v="2024-01-07T19:22:49"/>
    <d v="2024-01-08T00:15:07"/>
    <x v="83"/>
    <x v="1"/>
    <x v="0"/>
    <x v="1"/>
    <x v="2"/>
    <n v="7"/>
    <s v="HR"/>
    <s v="saas"/>
    <s v="Procurement team reports ERP attachments missing."/>
    <s v="Procurement team reports ERP attachments missing. Reported by Wendy from Finance."/>
    <b v="0"/>
    <b v="0"/>
  </r>
  <r>
    <n v="98"/>
    <d v="2024-01-07T20:48:24"/>
    <d v="2024-01-08T07:34:44"/>
    <x v="84"/>
    <x v="2"/>
    <x v="0"/>
    <x v="0"/>
    <x v="7"/>
    <n v="9"/>
    <s v="Finance"/>
    <s v="peripherals"/>
    <s v="New contractor needs temporary access to WMS."/>
    <s v="New contractor needs temporary access to WMS. Reported by Allison from Sales."/>
    <b v="0"/>
    <b v="0"/>
  </r>
  <r>
    <n v="99"/>
    <d v="2024-01-07T21:03:10"/>
    <d v="2024-01-08T00:37:54"/>
    <x v="85"/>
    <x v="1"/>
    <x v="0"/>
    <x v="2"/>
    <x v="7"/>
    <n v="10"/>
    <s v="Sales"/>
    <s v="peripherals"/>
    <s v="SSO certificate warning shown on benefits portal."/>
    <s v="SSO certificate warning shown on benefits portal. Reported by Tasha from HR."/>
    <b v="1"/>
    <b v="0"/>
  </r>
  <r>
    <n v="100"/>
    <d v="2024-01-07T22:38:16"/>
    <d v="2024-01-08T02:01:53"/>
    <x v="86"/>
    <x v="1"/>
    <x v="0"/>
    <x v="1"/>
    <x v="4"/>
    <n v="6"/>
    <s v="HR"/>
    <s v="network"/>
    <s v="Teams calls dropping audio after two minutes."/>
    <s v="Teams calls dropping audio after two minutes. Reported by Michelle from HR."/>
    <b v="0"/>
    <b v="0"/>
  </r>
  <r>
    <n v="101"/>
    <d v="2024-01-07T22:44:30"/>
    <d v="2024-01-08T05:15:13"/>
    <x v="87"/>
    <x v="1"/>
    <x v="0"/>
    <x v="0"/>
    <x v="4"/>
    <n v="10"/>
    <s v="IT"/>
    <s v="network"/>
    <s v="Warehouse tablet battery draining within one shift."/>
    <s v="Warehouse tablet battery draining within one shift. Reported by Alexander from Finance."/>
    <b v="0"/>
    <b v="0"/>
  </r>
  <r>
    <n v="102"/>
    <d v="2024-01-07T23:44:52"/>
    <d v="2024-01-08T08:50:24"/>
    <x v="88"/>
    <x v="2"/>
    <x v="0"/>
    <x v="2"/>
    <x v="1"/>
    <n v="9"/>
    <s v="IT"/>
    <s v="voice"/>
    <s v="Citrix launch freezes on black screen."/>
    <s v="Citrix launch freezes on black screen. Reported by Jennifer from Finance."/>
    <b v="0"/>
    <b v="0"/>
  </r>
  <r>
    <n v="103"/>
    <d v="2024-01-08T01:07:26"/>
    <d v="2024-01-08T01:52:39"/>
    <x v="89"/>
    <x v="3"/>
    <x v="0"/>
    <x v="3"/>
    <x v="3"/>
    <n v="2"/>
    <s v="Warehouse"/>
    <s v="security"/>
    <s v="Customer portal SSO redirects to blank page."/>
    <s v="Customer portal SSO redirects to blank page. Reported by Erin from Sales."/>
    <b v="1"/>
    <b v="0"/>
  </r>
  <r>
    <n v="104"/>
    <d v="2024-01-08T03:13:10"/>
    <d v="2024-01-08T09:42:45"/>
    <x v="90"/>
    <x v="1"/>
    <x v="0"/>
    <x v="0"/>
    <x v="0"/>
    <n v="7"/>
    <s v="Warehouse"/>
    <s v="business-apps"/>
    <s v="Mailbox forwarding rule recreated after removal."/>
    <s v="Mailbox forwarding rule recreated after removal. Reported by Amanda from Warehouse."/>
    <b v="1"/>
    <b v="0"/>
  </r>
  <r>
    <n v="105"/>
    <d v="2024-01-08T03:52:38"/>
    <d v="2024-01-08T11:46:16"/>
    <x v="91"/>
    <x v="1"/>
    <x v="0"/>
    <x v="0"/>
    <x v="0"/>
    <n v="7"/>
    <s v="Finance"/>
    <s v="business-apps"/>
    <s v="Warehouse tablet battery draining within one shift."/>
    <s v="Warehouse tablet battery draining within one shift. Reported by Joseph from Warehouse."/>
    <b v="0"/>
    <b v="0"/>
  </r>
  <r>
    <n v="106"/>
    <d v="2024-01-08T04:20:39"/>
    <d v="2024-01-08T06:38:16"/>
    <x v="92"/>
    <x v="1"/>
    <x v="0"/>
    <x v="2"/>
    <x v="6"/>
    <n v="8"/>
    <s v="HR"/>
    <s v="identity"/>
    <s v="Power BI refresh failing after service account rotation."/>
    <s v="Power BI refresh failing after service account rotation. Reported by Danielle from Sales."/>
    <b v="0"/>
    <b v="0"/>
  </r>
  <r>
    <n v="107"/>
    <d v="2024-01-08T04:52:12"/>
    <d v="2024-01-08T08:31:08"/>
    <x v="93"/>
    <x v="1"/>
    <x v="0"/>
    <x v="2"/>
    <x v="5"/>
    <n v="6"/>
    <s v="HR"/>
    <s v="endpoint"/>
    <s v="Email quarantine released but message still missing."/>
    <s v="Email quarantine released but message still missing. Reported by Daniel from HR."/>
    <b v="0"/>
    <b v="0"/>
  </r>
  <r>
    <n v="108"/>
    <d v="2024-01-08T05:03:19"/>
    <d v="2024-01-08T06:04:25"/>
    <x v="94"/>
    <x v="1"/>
    <x v="0"/>
    <x v="1"/>
    <x v="6"/>
    <n v="8"/>
    <s v="Sales"/>
    <s v="identity"/>
    <s v="Payroll batch job missed scheduled overnight window."/>
    <s v="Payroll batch job missed scheduled overnight window. Reported by Ryan from Warehouse."/>
    <b v="0"/>
    <b v="0"/>
  </r>
  <r>
    <n v="109"/>
    <d v="2024-01-08T06:48:48"/>
    <d v="2024-01-08T16:11:37"/>
    <x v="95"/>
    <x v="2"/>
    <x v="0"/>
    <x v="2"/>
    <x v="3"/>
    <n v="6"/>
    <s v="IT"/>
    <s v="security"/>
    <s v="Label printer feeds blank stock after maintenance."/>
    <s v="Label printer feeds blank stock after maintenance. Reported by Shawn from Sales."/>
    <b v="0"/>
    <b v="0"/>
  </r>
  <r>
    <n v="110"/>
    <d v="2024-01-08T07:31:16"/>
    <d v="2024-01-08T10:30:03"/>
    <x v="10"/>
    <x v="1"/>
    <x v="3"/>
    <x v="2"/>
    <x v="1"/>
    <n v="3"/>
    <s v="HR"/>
    <s v="voice"/>
    <s v="New hire missing access to onboarding portal."/>
    <s v="New hire missing access to onboarding portal. Reported by Stephanie from Finance."/>
    <b v="0"/>
    <b v="0"/>
  </r>
  <r>
    <n v="111"/>
    <d v="2024-01-08T07:40:46"/>
    <d v="2024-01-08T14:27:32"/>
    <x v="96"/>
    <x v="1"/>
    <x v="0"/>
    <x v="2"/>
    <x v="5"/>
    <n v="5"/>
    <s v="Sales"/>
    <s v="endpoint"/>
    <s v="Spam burst hit shared support inbox this morning."/>
    <s v="Spam burst hit shared support inbox this morning. Reported by Nancy from Operations."/>
    <b v="0"/>
    <b v="0"/>
  </r>
  <r>
    <n v="112"/>
    <d v="2024-01-08T08:01:02"/>
    <d v="2024-01-08T18:44:08"/>
    <x v="97"/>
    <x v="2"/>
    <x v="0"/>
    <x v="0"/>
    <x v="4"/>
    <n v="10"/>
    <s v="Operations"/>
    <s v="network"/>
    <s v="Password reset loop continues after successful change."/>
    <s v="Password reset loop continues after successful change. Reported by Jose from HR."/>
    <b v="0"/>
    <b v="0"/>
  </r>
  <r>
    <n v="113"/>
    <d v="2024-01-08T08:56:19"/>
    <d v="2024-01-09T00:05:52"/>
    <x v="98"/>
    <x v="2"/>
    <x v="1"/>
    <x v="2"/>
    <x v="4"/>
    <n v="9"/>
    <s v="Warehouse"/>
    <s v="network"/>
    <s v="Email signatures disappeared for sales team."/>
    <s v="Email signatures disappeared for sales team. Reported by Vincent from HR."/>
    <b v="0"/>
    <b v="0"/>
  </r>
  <r>
    <n v="114"/>
    <d v="2024-01-08T10:27:39"/>
    <d v="2024-01-08T12:20:10"/>
    <x v="99"/>
    <x v="0"/>
    <x v="0"/>
    <x v="0"/>
    <x v="3"/>
    <n v="7"/>
    <s v="Warehouse"/>
    <s v="security"/>
    <s v="Outlook keeps prompting for password on Mac."/>
    <s v="Outlook keeps prompting for password on Mac. Reported by Guy from HR."/>
    <b v="0"/>
    <b v="0"/>
  </r>
  <r>
    <n v="115"/>
    <d v="2024-01-08T11:03:52"/>
    <d v="2024-01-08T13:34:10"/>
    <x v="100"/>
    <x v="1"/>
    <x v="0"/>
    <x v="3"/>
    <x v="2"/>
    <n v="4"/>
    <s v="Warehouse"/>
    <s v="saas"/>
    <s v="Label printer feeds blank stock after maintenance."/>
    <s v="Label printer feeds blank stock after maintenance. Reported by Rita from Operations."/>
    <b v="0"/>
    <b v="0"/>
  </r>
  <r>
    <n v="116"/>
    <d v="2024-01-08T15:23:32"/>
    <d v="2024-01-08T18:17:58"/>
    <x v="101"/>
    <x v="0"/>
    <x v="0"/>
    <x v="0"/>
    <x v="6"/>
    <n v="3"/>
    <s v="Finance"/>
    <s v="identity"/>
    <s v="Payroll batch job missed scheduled overnight window."/>
    <s v="Payroll batch job missed scheduled overnight window. Reported by Monica from Operations."/>
    <b v="0"/>
    <b v="0"/>
  </r>
  <r>
    <n v="117"/>
    <d v="2024-01-08T15:40:39"/>
    <d v="2024-01-08T22:53:59"/>
    <x v="102"/>
    <x v="2"/>
    <x v="0"/>
    <x v="0"/>
    <x v="0"/>
    <n v="3"/>
    <s v="Sales"/>
    <s v="business-apps"/>
    <s v="Excel add-in blocked by security policy."/>
    <s v="Excel add-in blocked by security policy. Reported by Kenneth from HR."/>
    <b v="0"/>
    <b v="0"/>
  </r>
  <r>
    <n v="118"/>
    <d v="2024-01-08T16:08:02"/>
    <d v="2024-01-08T19:41:26"/>
    <x v="10"/>
    <x v="1"/>
    <x v="3"/>
    <x v="1"/>
    <x v="5"/>
    <n v="4"/>
    <s v="Warehouse"/>
    <s v="endpoint"/>
    <s v="Customer portal SSO redirects to blank page."/>
    <s v="Customer portal SSO redirects to blank page. Reported by Danielle from Finance."/>
    <b v="0"/>
    <b v="0"/>
  </r>
  <r>
    <n v="119"/>
    <d v="2024-01-08T17:51:09"/>
    <d v="2024-01-08T18:58:14"/>
    <x v="103"/>
    <x v="1"/>
    <x v="0"/>
    <x v="0"/>
    <x v="7"/>
    <n v="10"/>
    <s v="Sales"/>
    <s v="peripherals"/>
    <s v="MFA push not arriving on replacement phone."/>
    <s v="MFA push not arriving on replacement phone. Reported by Chelsea from Operations."/>
    <b v="0"/>
    <b v="0"/>
  </r>
  <r>
    <n v="120"/>
    <d v="2024-01-08T18:33:42"/>
    <d v="2024-01-08T19:55:28"/>
    <x v="104"/>
    <x v="1"/>
    <x v="0"/>
    <x v="2"/>
    <x v="3"/>
    <n v="6"/>
    <s v="Sales"/>
    <s v="security"/>
    <s v="Email search indexing incomplete after migration."/>
    <s v="Email search indexing incomplete after migration. Reported by Eric from Operations."/>
    <b v="0"/>
    <b v="0"/>
  </r>
  <r>
    <n v="121"/>
    <d v="2024-01-08T19:58:50"/>
    <d v="2024-01-08T23:20:39"/>
    <x v="10"/>
    <x v="1"/>
    <x v="2"/>
    <x v="3"/>
    <x v="6"/>
    <n v="4"/>
    <s v="Operations"/>
    <s v="identity"/>
    <s v="Scanner firmware update broke keyboard wedge mode."/>
    <s v="Scanner firmware update broke keyboard wedge mode. Reported by Kathryn from HR."/>
    <b v="0"/>
    <b v="0"/>
  </r>
  <r>
    <n v="122"/>
    <d v="2024-01-09T00:41:56"/>
    <d v="2024-01-09T03:31:40"/>
    <x v="105"/>
    <x v="0"/>
    <x v="1"/>
    <x v="1"/>
    <x v="1"/>
    <n v="9"/>
    <s v="Operations"/>
    <s v="voice"/>
    <s v="MFA push not arriving on replacement phone."/>
    <s v="MFA push not arriving on replacement phone. Reported by Amber from Warehouse."/>
    <b v="0"/>
    <b v="0"/>
  </r>
  <r>
    <n v="123"/>
    <d v="2024-01-09T01:08:29"/>
    <d v="2024-01-09T15:12:22"/>
    <x v="106"/>
    <x v="2"/>
    <x v="0"/>
    <x v="0"/>
    <x v="7"/>
    <n v="4"/>
    <s v="IT"/>
    <s v="peripherals"/>
    <s v="Docking station no longer drives dual monitors."/>
    <s v="Docking station no longer drives dual monitors. Reported by Kimberly from Operations."/>
    <b v="0"/>
    <b v="0"/>
  </r>
  <r>
    <n v="124"/>
    <d v="2024-01-09T02:30:33"/>
    <d v="2024-01-09T04:52:41"/>
    <x v="107"/>
    <x v="1"/>
    <x v="0"/>
    <x v="0"/>
    <x v="6"/>
    <n v="8"/>
    <s v="Warehouse"/>
    <s v="identity"/>
    <s v="VPN disconnects every 15 minutes on hotel Wi-Fi."/>
    <s v="VPN disconnects every 15 minutes on hotel Wi-Fi. Reported by Alyssa from Finance."/>
    <b v="1"/>
    <b v="0"/>
  </r>
  <r>
    <n v="125"/>
    <d v="2024-01-09T05:02:59"/>
    <d v="2024-01-09T12:49:16"/>
    <x v="108"/>
    <x v="1"/>
    <x v="0"/>
    <x v="2"/>
    <x v="5"/>
    <n v="7"/>
    <s v="IT"/>
    <s v="endpoint"/>
    <s v="Citrix launch freezes on black screen."/>
    <s v="Citrix launch freezes on black screen. Reported by Aaron from HR."/>
    <b v="0"/>
    <b v="0"/>
  </r>
  <r>
    <n v="126"/>
    <d v="2024-01-09T10:49:33"/>
    <d v="2024-01-10T04:14:42"/>
    <x v="109"/>
    <x v="2"/>
    <x v="0"/>
    <x v="2"/>
    <x v="5"/>
    <n v="4"/>
    <s v="IT"/>
    <s v="endpoint"/>
    <s v="Intune enrollment stuck on compliance evaluation."/>
    <s v="Intune enrollment stuck on compliance evaluation. Reported by Mario from Sales."/>
    <b v="1"/>
    <b v="0"/>
  </r>
  <r>
    <n v="127"/>
    <d v="2024-01-09T11:09:31"/>
    <d v="2024-01-09T18:16:02"/>
    <x v="110"/>
    <x v="1"/>
    <x v="0"/>
    <x v="0"/>
    <x v="1"/>
    <n v="10"/>
    <s v="Operations"/>
    <s v="voice"/>
    <s v="M365 outage causing login failures across offices."/>
    <s v="M365 outage causing login failures across offices. Reported by Andrew from Operations."/>
    <b v="0"/>
    <b v="0"/>
  </r>
  <r>
    <n v="128"/>
    <d v="2024-01-09T11:42:57"/>
    <d v="2024-01-09T15:23:58"/>
    <x v="111"/>
    <x v="1"/>
    <x v="0"/>
    <x v="0"/>
    <x v="7"/>
    <n v="7"/>
    <s v="IT"/>
    <s v="peripherals"/>
    <s v="Label printer feeds blank stock after maintenance."/>
    <s v="Label printer feeds blank stock after maintenance. Reported by Sarah from Finance."/>
    <b v="0"/>
    <b v="0"/>
  </r>
  <r>
    <n v="129"/>
    <d v="2024-01-09T11:50:59"/>
    <d v="2024-01-09T16:28:40"/>
    <x v="112"/>
    <x v="1"/>
    <x v="0"/>
    <x v="1"/>
    <x v="4"/>
    <n v="10"/>
    <s v="Warehouse"/>
    <s v="network"/>
    <s v="Excel add-in blocked by security policy."/>
    <s v="Excel add-in blocked by security policy. Reported by Natasha from Warehouse."/>
    <b v="0"/>
    <b v="0"/>
  </r>
  <r>
    <n v="130"/>
    <d v="2024-01-09T13:26:53"/>
    <d v="2024-01-10T08:51:45"/>
    <x v="113"/>
    <x v="2"/>
    <x v="0"/>
    <x v="0"/>
    <x v="0"/>
    <n v="1"/>
    <s v="Operations"/>
    <s v="business-apps"/>
    <s v="Print queue stalled for shipping label batch."/>
    <s v="Print queue stalled for shipping label batch. Reported by Marie from Warehouse."/>
    <b v="0"/>
    <b v="0"/>
  </r>
  <r>
    <n v="131"/>
    <d v="2024-01-09T13:43:41"/>
    <d v="2024-01-09T15:32:37"/>
    <x v="114"/>
    <x v="0"/>
    <x v="0"/>
    <x v="1"/>
    <x v="4"/>
    <n v="3"/>
    <s v="Warehouse"/>
    <s v="network"/>
    <s v="Teams meeting room camera flickers after restart."/>
    <s v="Teams meeting room camera flickers after restart. Reported by Kyle from HR."/>
    <b v="0"/>
    <b v="0"/>
  </r>
  <r>
    <n v="132"/>
    <d v="2024-01-09T15:43:36"/>
    <d v="2024-01-10T04:33:30"/>
    <x v="115"/>
    <x v="2"/>
    <x v="0"/>
    <x v="0"/>
    <x v="2"/>
    <n v="4"/>
    <s v="Sales"/>
    <s v="saas"/>
    <s v="VPN outage reported by remote finance staff."/>
    <s v="VPN outage reported by remote finance staff. Reported by Brian from Finance."/>
    <b v="0"/>
    <b v="0"/>
  </r>
  <r>
    <n v="133"/>
    <d v="2024-01-09T19:33:36"/>
    <d v="2024-01-10T01:17:50"/>
    <x v="116"/>
    <x v="1"/>
    <x v="0"/>
    <x v="2"/>
    <x v="7"/>
    <n v="7"/>
    <s v="Warehouse"/>
    <s v="peripherals"/>
    <s v="Scanner firmware update broke keyboard wedge mode."/>
    <s v="Scanner firmware update broke keyboard wedge mode. Reported by Natalie from Warehouse."/>
    <b v="0"/>
    <b v="0"/>
  </r>
  <r>
    <n v="134"/>
    <d v="2024-01-09T19:36:38"/>
    <d v="2024-01-09T23:34:48"/>
    <x v="117"/>
    <x v="1"/>
    <x v="0"/>
    <x v="2"/>
    <x v="5"/>
    <n v="9"/>
    <s v="Operations"/>
    <s v="endpoint"/>
    <s v="Procurement team reports ERP attachments missing."/>
    <s v="Procurement team reports ERP attachments missing. Reported by Stacey from Warehouse."/>
    <b v="0"/>
    <b v="0"/>
  </r>
  <r>
    <n v="135"/>
    <d v="2024-01-09T21:31:24"/>
    <d v="2024-01-09T23:34:18"/>
    <x v="118"/>
    <x v="1"/>
    <x v="0"/>
    <x v="0"/>
    <x v="3"/>
    <n v="2"/>
    <s v="Operations"/>
    <s v="security"/>
    <s v="CEO calendar delegate can no longer edit events."/>
    <s v="CEO calendar delegate can no longer edit events. Reported by Christopher from Finance."/>
    <b v="0"/>
    <b v="0"/>
  </r>
  <r>
    <n v="136"/>
    <d v="2024-01-10T00:54:28"/>
    <d v="2024-01-10T03:18:38"/>
    <x v="119"/>
    <x v="0"/>
    <x v="0"/>
    <x v="2"/>
    <x v="1"/>
    <n v="2"/>
    <s v="HR"/>
    <s v="voice"/>
    <s v="Email signatures disappeared for sales team."/>
    <s v="Email signatures disappeared for sales team. Reported by Todd from Operations."/>
    <b v="0"/>
    <b v="0"/>
  </r>
  <r>
    <n v="137"/>
    <d v="2024-01-10T02:52:53"/>
    <d v="2024-01-10T07:26:09"/>
    <x v="120"/>
    <x v="1"/>
    <x v="0"/>
    <x v="0"/>
    <x v="1"/>
    <n v="7"/>
    <s v="Operations"/>
    <s v="voice"/>
    <s v="New hire missing access to onboarding portal."/>
    <s v="New hire missing access to onboarding portal. Reported by Chad from Operations."/>
    <b v="1"/>
    <b v="0"/>
  </r>
  <r>
    <n v="138"/>
    <d v="2024-01-10T03:00:41"/>
    <d v="2024-01-10T15:13:27"/>
    <x v="121"/>
    <x v="2"/>
    <x v="0"/>
    <x v="1"/>
    <x v="5"/>
    <n v="4"/>
    <s v="Warehouse"/>
    <s v="endpoint"/>
    <s v="Barcode labels printing with incorrect dimensions."/>
    <s v="Barcode labels printing with incorrect dimensions. Reported by Kathleen from HR."/>
    <b v="0"/>
    <b v="0"/>
  </r>
  <r>
    <n v="139"/>
    <d v="2024-01-10T05:24:57"/>
    <d v="2024-01-10T12:59:04"/>
    <x v="122"/>
    <x v="1"/>
    <x v="0"/>
    <x v="1"/>
    <x v="2"/>
    <n v="7"/>
    <s v="IT"/>
    <s v="saas"/>
    <s v="Outlook keeps prompting for password on Mac."/>
    <s v="Outlook keeps prompting for password on Mac. Reported by Katie from Warehouse."/>
    <b v="0"/>
    <b v="0"/>
  </r>
  <r>
    <n v="140"/>
    <d v="2024-01-10T06:06:40"/>
    <d v="2024-01-10T08:51:39"/>
    <x v="123"/>
    <x v="1"/>
    <x v="0"/>
    <x v="0"/>
    <x v="4"/>
    <n v="1"/>
    <s v="Warehouse"/>
    <s v="network"/>
    <s v="Scanner firmware update broke keyboard wedge mode."/>
    <s v="Scanner firmware update broke keyboard wedge mode. Reported by David from Operations."/>
    <b v="0"/>
    <b v="0"/>
  </r>
  <r>
    <n v="141"/>
    <d v="2024-01-10T10:38:54"/>
    <d v="2024-01-10T23:26:43"/>
    <x v="124"/>
    <x v="2"/>
    <x v="0"/>
    <x v="2"/>
    <x v="7"/>
    <n v="6"/>
    <s v="Finance"/>
    <s v="peripherals"/>
    <s v="Citrix launch freezes on black screen."/>
    <s v="Citrix launch freezes on black screen. Reported by Thomas from Operations."/>
    <b v="0"/>
    <b v="0"/>
  </r>
  <r>
    <n v="142"/>
    <d v="2024-01-10T11:57:18"/>
    <d v="2024-01-10T13:12:00"/>
    <x v="125"/>
    <x v="0"/>
    <x v="1"/>
    <x v="3"/>
    <x v="4"/>
    <n v="1"/>
    <s v="HR"/>
    <s v="network"/>
    <s v="Scanner firmware update broke keyboard wedge mode."/>
    <s v="Scanner firmware update broke keyboard wedge mode. Reported by Andrea from Sales."/>
    <b v="1"/>
    <b v="0"/>
  </r>
  <r>
    <n v="143"/>
    <d v="2024-01-10T12:10:49"/>
    <d v="2024-01-10T16:44:02"/>
    <x v="126"/>
    <x v="1"/>
    <x v="0"/>
    <x v="2"/>
    <x v="2"/>
    <n v="10"/>
    <s v="Sales"/>
    <s v="saas"/>
    <s v="Power BI refresh failing after service account rotation."/>
    <s v="Power BI refresh failing after service account rotation. Reported by Joseph from Operations."/>
    <b v="0"/>
    <b v="0"/>
  </r>
  <r>
    <n v="144"/>
    <d v="2024-01-10T15:38:21"/>
    <d v="2024-01-10T19:16:50"/>
    <x v="127"/>
    <x v="1"/>
    <x v="0"/>
    <x v="0"/>
    <x v="5"/>
    <n v="2"/>
    <s v="HR"/>
    <s v="endpoint"/>
    <s v="Docking station no longer drives dual monitors."/>
    <s v="Docking station no longer drives dual monitors. Reported by Monique from Sales."/>
    <b v="1"/>
    <b v="0"/>
  </r>
  <r>
    <n v="145"/>
    <d v="2024-01-10T17:06:26"/>
    <d v="2024-01-10T19:39:15"/>
    <x v="128"/>
    <x v="0"/>
    <x v="0"/>
    <x v="1"/>
    <x v="0"/>
    <n v="2"/>
    <s v="Sales"/>
    <s v="business-apps"/>
    <s v="Conference room display shows no HDMI signal."/>
    <s v="Conference room display shows no HDMI signal. Reported by Rodney from HR."/>
    <b v="0"/>
    <b v="0"/>
  </r>
  <r>
    <n v="146"/>
    <d v="2024-01-10T17:28:03"/>
    <d v="2024-01-11T06:31:05"/>
    <x v="129"/>
    <x v="2"/>
    <x v="0"/>
    <x v="0"/>
    <x v="0"/>
    <n v="2"/>
    <s v="Sales"/>
    <s v="business-apps"/>
    <s v="Warehouse scanner will not sync picks to WMS."/>
    <s v="Warehouse scanner will not sync picks to WMS. Reported by Jason from HR."/>
    <b v="0"/>
    <b v="0"/>
  </r>
  <r>
    <n v="147"/>
    <d v="2024-01-10T18:31:44"/>
    <d v="2024-01-11T00:45:38"/>
    <x v="130"/>
    <x v="2"/>
    <x v="1"/>
    <x v="1"/>
    <x v="0"/>
    <n v="3"/>
    <s v="HR"/>
    <s v="business-apps"/>
    <s v="Voicemail transcription unavailable in mobile app."/>
    <s v="Voicemail transcription unavailable in mobile app. Reported by Amber from Finance."/>
    <b v="1"/>
    <b v="0"/>
  </r>
  <r>
    <n v="148"/>
    <d v="2024-01-10T22:52:14"/>
    <d v="2024-01-11T06:36:46"/>
    <x v="131"/>
    <x v="1"/>
    <x v="0"/>
    <x v="0"/>
    <x v="4"/>
    <n v="5"/>
    <s v="HR"/>
    <s v="network"/>
    <s v="Mailbox forwarding rule recreated after removal."/>
    <s v="Mailbox forwarding rule recreated after removal. Reported by Jessica from HR."/>
    <b v="0"/>
    <b v="0"/>
  </r>
  <r>
    <n v="149"/>
    <d v="2024-01-11T02:00:13"/>
    <d v="2024-01-11T17:43:02"/>
    <x v="132"/>
    <x v="2"/>
    <x v="0"/>
    <x v="1"/>
    <x v="3"/>
    <n v="7"/>
    <s v="Operations"/>
    <s v="security"/>
    <s v="Payroll batch job missed scheduled overnight window."/>
    <s v="Payroll batch job missed scheduled overnight window. Reported by James from Sales."/>
    <b v="0"/>
    <b v="0"/>
  </r>
  <r>
    <n v="150"/>
    <d v="2024-01-11T02:59:22"/>
    <d v="2024-01-11T05:26:15"/>
    <x v="133"/>
    <x v="0"/>
    <x v="0"/>
    <x v="2"/>
    <x v="0"/>
    <n v="10"/>
    <s v="IT"/>
    <s v="business-apps"/>
    <s v="ERP purchase order screen timing out for AP team."/>
    <s v="ERP purchase order screen timing out for AP team. Reported by Larry from Operations."/>
    <b v="0"/>
    <b v="0"/>
  </r>
  <r>
    <n v="151"/>
    <d v="2024-01-11T05:39:55"/>
    <d v="2024-01-11T19:23:13"/>
    <x v="134"/>
    <x v="2"/>
    <x v="0"/>
    <x v="0"/>
    <x v="5"/>
    <n v="9"/>
    <s v="IT"/>
    <s v="endpoint"/>
    <s v="Cannot sign in to Okta after password reset."/>
    <s v="Cannot sign in to Okta after password reset. Reported by Wanda from Finance."/>
    <b v="1"/>
    <b v="0"/>
  </r>
  <r>
    <n v="152"/>
    <d v="2024-01-11T06:47:36"/>
    <d v="2024-01-11T21:09:29"/>
    <x v="135"/>
    <x v="2"/>
    <x v="0"/>
    <x v="3"/>
    <x v="4"/>
    <n v="1"/>
    <s v="Sales"/>
    <s v="network"/>
    <s v="MFA push not arriving on replacement phone."/>
    <s v="MFA push not arriving on replacement phone. Reported by Debra from Finance."/>
    <b v="0"/>
    <b v="0"/>
  </r>
  <r>
    <n v="153"/>
    <d v="2024-01-11T06:57:46"/>
    <d v="2024-01-11T09:51:47"/>
    <x v="136"/>
    <x v="1"/>
    <x v="0"/>
    <x v="2"/>
    <x v="7"/>
    <n v="5"/>
    <s v="HR"/>
    <s v="peripherals"/>
    <s v="Excel add-in blocked by security policy."/>
    <s v="Excel add-in blocked by security policy. Reported by Samuel from Operations."/>
    <b v="0"/>
    <b v="0"/>
  </r>
  <r>
    <n v="154"/>
    <d v="2024-01-11T07:18:35"/>
    <d v="2024-01-11T14:50:57"/>
    <x v="137"/>
    <x v="1"/>
    <x v="0"/>
    <x v="0"/>
    <x v="6"/>
    <n v="9"/>
    <s v="Warehouse"/>
    <s v="identity"/>
    <s v="Teams meeting room camera flickers after restart."/>
    <s v="Teams meeting room camera flickers after restart. Reported by Zachary from Warehouse."/>
    <b v="0"/>
    <b v="0"/>
  </r>
  <r>
    <n v="155"/>
    <d v="2024-01-11T08:55:27"/>
    <d v="2024-01-12T01:19:21"/>
    <x v="138"/>
    <x v="2"/>
    <x v="0"/>
    <x v="1"/>
    <x v="4"/>
    <n v="2"/>
    <s v="IT"/>
    <s v="network"/>
    <s v="Laptop blue-screened during payroll export."/>
    <s v="Laptop blue-screened during payroll export. Reported by David from HR."/>
    <b v="0"/>
    <b v="0"/>
  </r>
  <r>
    <n v="156"/>
    <d v="2024-01-11T09:54:26"/>
    <d v="2024-01-11T17:26:13"/>
    <x v="139"/>
    <x v="1"/>
    <x v="0"/>
    <x v="2"/>
    <x v="3"/>
    <n v="7"/>
    <s v="Warehouse"/>
    <s v="security"/>
    <s v="Mailbox forwarding rule recreated after removal."/>
    <s v="Mailbox forwarding rule recreated after removal. Reported by Jeffrey from HR."/>
    <b v="0"/>
    <b v="0"/>
  </r>
  <r>
    <n v="157"/>
    <d v="2024-01-11T10:33:28"/>
    <d v="2024-01-11T15:24:20"/>
    <x v="140"/>
    <x v="1"/>
    <x v="0"/>
    <x v="0"/>
    <x v="2"/>
    <n v="5"/>
    <s v="IT"/>
    <s v="saas"/>
    <s v="Shared mailbox permissions disappeared overnight."/>
    <s v="Shared mailbox permissions disappeared overnight. Reported by Matthew from HR."/>
    <b v="0"/>
    <b v="0"/>
  </r>
  <r>
    <n v="158"/>
    <d v="2024-01-11T11:44:00"/>
    <d v="2024-01-11T13:24:38"/>
    <x v="141"/>
    <x v="1"/>
    <x v="0"/>
    <x v="2"/>
    <x v="0"/>
    <n v="2"/>
    <s v="Operations"/>
    <s v="business-apps"/>
    <s v="CEO calendar delegate can no longer edit events."/>
    <s v="CEO calendar delegate can no longer edit events. Reported by Brianna from Warehouse."/>
    <b v="0"/>
    <b v="0"/>
  </r>
  <r>
    <n v="159"/>
    <d v="2024-01-11T12:05:12"/>
    <d v="2024-01-11T13:52:26"/>
    <x v="142"/>
    <x v="0"/>
    <x v="0"/>
    <x v="3"/>
    <x v="7"/>
    <n v="1"/>
    <s v="Sales"/>
    <s v="peripherals"/>
    <s v="MFA push not arriving on replacement phone."/>
    <s v="MFA push not arriving on replacement phone. Reported by Jerry from Operations."/>
    <b v="0"/>
    <b v="0"/>
  </r>
  <r>
    <n v="160"/>
    <d v="2024-01-11T12:29:34"/>
    <d v="2024-01-11T13:56:22"/>
    <x v="143"/>
    <x v="0"/>
    <x v="0"/>
    <x v="0"/>
    <x v="4"/>
    <n v="3"/>
    <s v="IT"/>
    <s v="network"/>
    <s v="Warehouse tablet battery draining within one shift."/>
    <s v="Warehouse tablet battery draining within one shift. Reported by Jeffrey from Operations."/>
    <b v="0"/>
    <b v="0"/>
  </r>
  <r>
    <n v="161"/>
    <d v="2024-01-11T12:31:29"/>
    <d v="2024-01-11T13:41:55"/>
    <x v="144"/>
    <x v="1"/>
    <x v="0"/>
    <x v="1"/>
    <x v="3"/>
    <n v="1"/>
    <s v="Sales"/>
    <s v="security"/>
    <s v="Scanner cradle not charging overnight."/>
    <s v="Scanner cradle not charging overnight. Reported by Chad from Finance."/>
    <b v="0"/>
    <b v="0"/>
  </r>
  <r>
    <n v="162"/>
    <d v="2024-01-11T13:09:55"/>
    <d v="2024-01-11T18:30:17"/>
    <x v="145"/>
    <x v="2"/>
    <x v="0"/>
    <x v="2"/>
    <x v="6"/>
    <n v="2"/>
    <s v="Finance"/>
    <s v="identity"/>
    <s v="Teams channels inaccessible during tenant incident."/>
    <s v="Teams channels inaccessible during tenant incident. Reported by Crystal from HR."/>
    <b v="0"/>
    <b v="0"/>
  </r>
  <r>
    <n v="163"/>
    <d v="2024-01-11T13:45:49"/>
    <d v="2024-01-11T16:55:02"/>
    <x v="146"/>
    <x v="1"/>
    <x v="1"/>
    <x v="0"/>
    <x v="2"/>
    <n v="6"/>
    <s v="Finance"/>
    <s v="saas"/>
    <s v="Scanner cradle not charging overnight."/>
    <s v="Scanner cradle not charging overnight. Reported by Jeremy from Sales."/>
    <b v="0"/>
    <b v="0"/>
  </r>
  <r>
    <n v="164"/>
    <d v="2024-01-11T14:21:40"/>
    <d v="2024-01-11T15:34:49"/>
    <x v="147"/>
    <x v="1"/>
    <x v="0"/>
    <x v="1"/>
    <x v="0"/>
    <n v="8"/>
    <s v="HR"/>
    <s v="business-apps"/>
    <s v="Teams calls dropping audio after two minutes."/>
    <s v="Teams calls dropping audio after two minutes. Reported by Rebecca from HR."/>
    <b v="0"/>
    <b v="0"/>
  </r>
  <r>
    <n v="165"/>
    <d v="2024-01-11T18:29:40"/>
    <d v="2024-01-12T00:02:06"/>
    <x v="148"/>
    <x v="1"/>
    <x v="0"/>
    <x v="2"/>
    <x v="5"/>
    <n v="6"/>
    <s v="HR"/>
    <s v="endpoint"/>
    <s v="Email search indexing incomplete after migration."/>
    <s v="Email search indexing incomplete after migration. Reported by Michele from Sales."/>
    <b v="0"/>
    <b v="0"/>
  </r>
  <r>
    <n v="166"/>
    <d v="2024-01-11T22:44:13"/>
    <d v="2024-01-12T03:58:36"/>
    <x v="149"/>
    <x v="1"/>
    <x v="0"/>
    <x v="1"/>
    <x v="3"/>
    <n v="8"/>
    <s v="Operations"/>
    <s v="security"/>
    <s v="Payroll batch job missed scheduled overnight window."/>
    <s v="Payroll batch job missed scheduled overnight window. Reported by Chad from Operations."/>
    <b v="0"/>
    <b v="0"/>
  </r>
  <r>
    <n v="167"/>
    <d v="2024-01-12T04:11:11"/>
    <d v="2024-01-12T06:04:21"/>
    <x v="150"/>
    <x v="1"/>
    <x v="0"/>
    <x v="2"/>
    <x v="6"/>
    <n v="1"/>
    <s v="Sales"/>
    <s v="identity"/>
    <s v="ERP role request approved but not applied."/>
    <s v="ERP role request approved but not applied. Reported by John from Warehouse."/>
    <b v="0"/>
    <b v="0"/>
  </r>
  <r>
    <n v="168"/>
    <d v="2024-01-12T05:49:24"/>
    <d v="2024-01-12T07:26:05"/>
    <x v="151"/>
    <x v="0"/>
    <x v="0"/>
    <x v="0"/>
    <x v="7"/>
    <n v="4"/>
    <s v="IT"/>
    <s v="peripherals"/>
    <s v="CEO calendar delegate can no longer edit events."/>
    <s v="CEO calendar delegate can no longer edit events. Reported by Elizabeth from Warehouse."/>
    <b v="0"/>
    <b v="0"/>
  </r>
  <r>
    <n v="169"/>
    <d v="2024-01-12T08:12:54"/>
    <d v="2024-01-12T21:19:37"/>
    <x v="152"/>
    <x v="2"/>
    <x v="0"/>
    <x v="0"/>
    <x v="7"/>
    <n v="7"/>
    <s v="Sales"/>
    <s v="peripherals"/>
    <s v="ERP purchase order screen timing out for AP team."/>
    <s v="ERP purchase order screen timing out for AP team. Reported by Jason from Operations."/>
    <b v="0"/>
    <b v="0"/>
  </r>
  <r>
    <n v="170"/>
    <d v="2024-01-12T10:25:20"/>
    <d v="2024-01-12T12:28:48"/>
    <x v="153"/>
    <x v="1"/>
    <x v="0"/>
    <x v="0"/>
    <x v="3"/>
    <n v="1"/>
    <s v="Sales"/>
    <s v="security"/>
    <s v="Intune enrollment stuck on compliance evaluation."/>
    <s v="Intune enrollment stuck on compliance evaluation. Reported by David from Warehouse."/>
    <b v="1"/>
    <b v="0"/>
  </r>
  <r>
    <n v="171"/>
    <d v="2024-01-12T14:02:38"/>
    <d v="2024-01-12T19:36:41"/>
    <x v="154"/>
    <x v="2"/>
    <x v="0"/>
    <x v="2"/>
    <x v="5"/>
    <n v="6"/>
    <s v="Warehouse"/>
    <s v="endpoint"/>
    <s v="Slack notifications delayed for customer support queue."/>
    <s v="Slack notifications delayed for customer support queue. Reported by Selena from HR."/>
    <b v="1"/>
    <b v="0"/>
  </r>
  <r>
    <n v="172"/>
    <d v="2024-01-12T15:10:01"/>
    <d v="2024-01-12T23:09:54"/>
    <x v="155"/>
    <x v="1"/>
    <x v="0"/>
    <x v="3"/>
    <x v="5"/>
    <n v="2"/>
    <s v="Sales"/>
    <s v="endpoint"/>
    <s v="Email search indexing incomplete after migration."/>
    <s v="Email search indexing incomplete after migration. Reported by Ashley from Operations."/>
    <b v="0"/>
    <b v="0"/>
  </r>
  <r>
    <n v="173"/>
    <d v="2024-01-12T15:54:34"/>
    <d v="2024-01-13T04:38:08"/>
    <x v="156"/>
    <x v="2"/>
    <x v="0"/>
    <x v="1"/>
    <x v="0"/>
    <n v="5"/>
    <s v="Finance"/>
    <s v="business-apps"/>
    <s v="VPN disconnects every 15 minutes on hotel Wi-Fi."/>
    <s v="VPN disconnects every 15 minutes on hotel Wi-Fi. Reported by Thomas from Operations."/>
    <b v="0"/>
    <b v="0"/>
  </r>
  <r>
    <n v="174"/>
    <d v="2024-01-12T18:45:05"/>
    <d v="2024-01-12T19:18:31"/>
    <x v="157"/>
    <x v="0"/>
    <x v="0"/>
    <x v="1"/>
    <x v="1"/>
    <n v="7"/>
    <s v="Operations"/>
    <s v="voice"/>
    <s v="Mailbox forwarding rule recreated after removal."/>
    <s v="Mailbox forwarding rule recreated after removal. Reported by Kristen from Operations."/>
    <b v="0"/>
    <b v="0"/>
  </r>
  <r>
    <n v="175"/>
    <d v="2024-01-12T20:21:59"/>
    <d v="2024-01-13T02:21:25"/>
    <x v="158"/>
    <x v="2"/>
    <x v="0"/>
    <x v="2"/>
    <x v="3"/>
    <n v="10"/>
    <s v="Finance"/>
    <s v="security"/>
    <s v="New contractor needs temporary access to WMS."/>
    <s v="New contractor needs temporary access to WMS. Reported by Lindsey from Warehouse."/>
    <b v="0"/>
    <b v="0"/>
  </r>
  <r>
    <n v="176"/>
    <d v="2024-01-12T21:16:48"/>
    <d v="2024-01-13T05:01:10"/>
    <x v="159"/>
    <x v="1"/>
    <x v="1"/>
    <x v="0"/>
    <x v="5"/>
    <n v="1"/>
    <s v="HR"/>
    <s v="endpoint"/>
    <s v="Single sign-on to HRIS returns invalid relay state."/>
    <s v="Single sign-on to HRIS returns invalid relay state. Reported by James from HR."/>
    <b v="0"/>
    <b v="0"/>
  </r>
  <r>
    <n v="177"/>
    <d v="2024-01-12T23:07:18"/>
    <d v="2024-01-13T01:11:55"/>
    <x v="160"/>
    <x v="0"/>
    <x v="1"/>
    <x v="1"/>
    <x v="2"/>
    <n v="6"/>
    <s v="HR"/>
    <s v="saas"/>
    <s v="ERP purchase order screen timing out for AP team."/>
    <s v="ERP purchase order screen timing out for AP team. Reported by Collin from Warehouse."/>
    <b v="0"/>
    <b v="0"/>
  </r>
  <r>
    <n v="178"/>
    <d v="2024-01-12T23:49:28"/>
    <d v="2024-01-13T06:04:10"/>
    <x v="161"/>
    <x v="1"/>
    <x v="0"/>
    <x v="0"/>
    <x v="4"/>
    <n v="6"/>
    <s v="HR"/>
    <s v="network"/>
    <s v="Shared mailbox permissions disappeared overnight."/>
    <s v="Shared mailbox permissions disappeared overnight. Reported by Ryan from Warehouse."/>
    <b v="0"/>
    <b v="0"/>
  </r>
  <r>
    <n v="179"/>
    <d v="2024-01-13T01:18:53"/>
    <d v="2024-01-13T09:04:27"/>
    <x v="162"/>
    <x v="1"/>
    <x v="0"/>
    <x v="0"/>
    <x v="3"/>
    <n v="1"/>
    <s v="Sales"/>
    <s v="security"/>
    <s v="Barcode labels printing with incorrect dimensions."/>
    <s v="Barcode labels printing with incorrect dimensions. Reported by Rodney from HR."/>
    <b v="0"/>
    <b v="0"/>
  </r>
  <r>
    <n v="180"/>
    <d v="2024-01-13T01:31:50"/>
    <d v="2024-01-13T04:30:24"/>
    <x v="163"/>
    <x v="1"/>
    <x v="0"/>
    <x v="0"/>
    <x v="0"/>
    <n v="7"/>
    <s v="IT"/>
    <s v="business-apps"/>
    <s v="Phone soft client cannot register after ISP change."/>
    <s v="Phone soft client cannot register after ISP change. Reported by Stuart from HR."/>
    <b v="0"/>
    <b v="0"/>
  </r>
  <r>
    <n v="181"/>
    <d v="2024-01-13T01:34:33"/>
    <d v="2024-01-13T16:18:04"/>
    <x v="164"/>
    <x v="2"/>
    <x v="1"/>
    <x v="3"/>
    <x v="2"/>
    <n v="1"/>
    <s v="Operations"/>
    <s v="saas"/>
    <s v="Warehouse RF gun drops Wi-Fi in aisle B."/>
    <s v="Warehouse RF gun drops Wi-Fi in aisle B. Reported by Jessica from Operations."/>
    <b v="0"/>
    <b v="0"/>
  </r>
  <r>
    <n v="182"/>
    <d v="2024-01-13T07:56:35"/>
    <d v="2024-01-13T11:46:38"/>
    <x v="165"/>
    <x v="2"/>
    <x v="0"/>
    <x v="1"/>
    <x v="6"/>
    <n v="7"/>
    <s v="Sales"/>
    <s v="identity"/>
    <s v="Warehouse tablet battery draining within one shift."/>
    <s v="Warehouse tablet battery draining within one shift. Reported by Emily from HR."/>
    <b v="0"/>
    <b v="0"/>
  </r>
  <r>
    <n v="183"/>
    <d v="2024-01-13T10:55:26"/>
    <d v="2024-01-13T17:15:10"/>
    <x v="166"/>
    <x v="1"/>
    <x v="0"/>
    <x v="0"/>
    <x v="7"/>
    <n v="3"/>
    <s v="Warehouse"/>
    <s v="peripherals"/>
    <s v="ERP role request approved but not applied."/>
    <s v="ERP role request approved but not applied. Reported by Tracey from Warehouse."/>
    <b v="0"/>
    <b v="0"/>
  </r>
  <r>
    <n v="184"/>
    <d v="2024-01-13T13:02:37"/>
    <d v="2024-01-13T15:58:15"/>
    <x v="10"/>
    <x v="2"/>
    <x v="2"/>
    <x v="3"/>
    <x v="2"/>
    <n v="2"/>
    <s v="IT"/>
    <s v="saas"/>
    <s v="Citrix launch freezes on black screen."/>
    <s v="Citrix launch freezes on black screen. Reported by Corey from Sales."/>
    <b v="0"/>
    <b v="0"/>
  </r>
  <r>
    <n v="185"/>
    <d v="2024-01-13T13:12:37"/>
    <d v="2024-01-13T20:03:25"/>
    <x v="167"/>
    <x v="1"/>
    <x v="0"/>
    <x v="1"/>
    <x v="6"/>
    <n v="1"/>
    <s v="Finance"/>
    <s v="identity"/>
    <s v="New hire missing access to onboarding portal."/>
    <s v="New hire missing access to onboarding portal. Reported by Richard from Operations."/>
    <b v="0"/>
    <b v="0"/>
  </r>
  <r>
    <n v="186"/>
    <d v="2024-01-13T20:19:16"/>
    <d v="2024-01-13T22:59:28"/>
    <x v="10"/>
    <x v="0"/>
    <x v="3"/>
    <x v="2"/>
    <x v="5"/>
    <n v="5"/>
    <s v="Warehouse"/>
    <s v="endpoint"/>
    <s v="Label printer feeds blank stock after maintenance."/>
    <s v="Label printer feeds blank stock after maintenance. Reported by Matthew from Warehouse."/>
    <b v="0"/>
    <b v="0"/>
  </r>
  <r>
    <n v="187"/>
    <d v="2024-01-13T20:29:08"/>
    <d v="2024-01-14T15:53:46"/>
    <x v="168"/>
    <x v="2"/>
    <x v="0"/>
    <x v="0"/>
    <x v="7"/>
    <n v="3"/>
    <s v="HR"/>
    <s v="peripherals"/>
    <s v="Service account password expired on integration job."/>
    <s v="Service account password expired on integration job. Reported by Michelle from Operations."/>
    <b v="1"/>
    <b v="0"/>
  </r>
  <r>
    <n v="188"/>
    <d v="2024-01-13T20:33:13"/>
    <d v="2024-01-13T23:06:00"/>
    <x v="169"/>
    <x v="1"/>
    <x v="0"/>
    <x v="0"/>
    <x v="7"/>
    <n v="5"/>
    <s v="Operations"/>
    <s v="peripherals"/>
    <s v="Email quarantine released but message still missing."/>
    <s v="Email quarantine released but message still missing. Reported by John from HR."/>
    <b v="0"/>
    <b v="0"/>
  </r>
  <r>
    <n v="189"/>
    <d v="2024-01-13T20:43:22"/>
    <d v="2024-01-13T23:19:26"/>
    <x v="170"/>
    <x v="1"/>
    <x v="0"/>
    <x v="0"/>
    <x v="2"/>
    <n v="9"/>
    <s v="Warehouse"/>
    <s v="saas"/>
    <s v="Conditional access policy locked out break-glass account."/>
    <s v="Conditional access policy locked out break-glass account. Reported by James from Finance."/>
    <b v="0"/>
    <b v="0"/>
  </r>
  <r>
    <n v="190"/>
    <d v="2024-01-13T20:45:15"/>
    <d v="2024-01-13T23:29:03"/>
    <x v="171"/>
    <x v="0"/>
    <x v="1"/>
    <x v="2"/>
    <x v="3"/>
    <n v="9"/>
    <s v="IT"/>
    <s v="security"/>
    <s v="Label printer feeds blank stock after maintenance."/>
    <s v="Label printer feeds blank stock after maintenance. Reported by Shane from HR."/>
    <b v="0"/>
    <b v="0"/>
  </r>
  <r>
    <n v="191"/>
    <d v="2024-01-14T00:50:51"/>
    <d v="2024-01-14T04:01:48"/>
    <x v="172"/>
    <x v="1"/>
    <x v="0"/>
    <x v="2"/>
    <x v="7"/>
    <n v="8"/>
    <s v="IT"/>
    <s v="peripherals"/>
    <s v="Label printer feeds blank stock after maintenance."/>
    <s v="Label printer feeds blank stock after maintenance. Reported by Robert from Sales."/>
    <b v="0"/>
    <b v="0"/>
  </r>
  <r>
    <n v="192"/>
    <d v="2024-01-14T01:03:14"/>
    <d v="2024-01-14T03:41:36"/>
    <x v="173"/>
    <x v="1"/>
    <x v="0"/>
    <x v="0"/>
    <x v="0"/>
    <n v="5"/>
    <s v="Sales"/>
    <s v="business-apps"/>
    <s v="Docking station no longer drives dual monitors."/>
    <s v="Docking station no longer drives dual monitors. Reported by Joshua from Sales."/>
    <b v="0"/>
    <b v="0"/>
  </r>
  <r>
    <n v="193"/>
    <d v="2024-01-14T01:11:59"/>
    <d v="2024-01-14T03:03:09"/>
    <x v="174"/>
    <x v="1"/>
    <x v="0"/>
    <x v="0"/>
    <x v="5"/>
    <n v="2"/>
    <s v="IT"/>
    <s v="endpoint"/>
    <s v="Customer portal SSO redirects to blank page."/>
    <s v="Customer portal SSO redirects to blank page. Reported by John from Sales."/>
    <b v="0"/>
    <b v="0"/>
  </r>
  <r>
    <n v="194"/>
    <d v="2024-01-14T01:28:50"/>
    <d v="2024-01-14T06:08:00"/>
    <x v="175"/>
    <x v="1"/>
    <x v="0"/>
    <x v="2"/>
    <x v="2"/>
    <n v="5"/>
    <s v="Sales"/>
    <s v="saas"/>
    <s v="Sales laptop webcam missing from device manager."/>
    <s v="Sales laptop webcam missing from device manager. Reported by Sandra from Operations."/>
    <b v="0"/>
    <b v="0"/>
  </r>
  <r>
    <n v="195"/>
    <d v="2024-01-14T01:54:59"/>
    <d v="2024-01-14T16:14:45"/>
    <x v="176"/>
    <x v="2"/>
    <x v="0"/>
    <x v="1"/>
    <x v="3"/>
    <n v="1"/>
    <s v="Sales"/>
    <s v="security"/>
    <s v="New contractor needs temporary access to WMS."/>
    <s v="New contractor needs temporary access to WMS. Reported by Scott from Sales."/>
    <b v="0"/>
    <b v="0"/>
  </r>
  <r>
    <n v="196"/>
    <d v="2024-01-14T02:06:01"/>
    <d v="2024-01-14T11:34:30"/>
    <x v="177"/>
    <x v="2"/>
    <x v="0"/>
    <x v="0"/>
    <x v="4"/>
    <n v="2"/>
    <s v="HR"/>
    <s v="network"/>
    <s v="Email signatures disappeared for sales team."/>
    <s v="Email signatures disappeared for sales team. Reported by Michelle from HR."/>
    <b v="0"/>
    <b v="0"/>
  </r>
  <r>
    <n v="197"/>
    <d v="2024-01-14T04:28:09"/>
    <d v="2024-01-14T06:43:09"/>
    <x v="178"/>
    <x v="0"/>
    <x v="0"/>
    <x v="1"/>
    <x v="7"/>
    <n v="4"/>
    <s v="Finance"/>
    <s v="peripherals"/>
    <s v="Excel add-in blocked by security policy."/>
    <s v="Excel add-in blocked by security policy. Reported by Andrea from Warehouse."/>
    <b v="0"/>
    <b v="0"/>
  </r>
  <r>
    <n v="198"/>
    <d v="2024-01-14T06:43:19"/>
    <d v="2024-01-14T07:17:33"/>
    <x v="179"/>
    <x v="0"/>
    <x v="0"/>
    <x v="3"/>
    <x v="3"/>
    <n v="7"/>
    <s v="Sales"/>
    <s v="security"/>
    <s v="New hire missing access to onboarding portal."/>
    <s v="New hire missing access to onboarding portal. Reported by Brent from HR."/>
    <b v="0"/>
    <b v="0"/>
  </r>
  <r>
    <n v="199"/>
    <d v="2024-01-14T06:52:05"/>
    <d v="2024-01-14T11:33:40"/>
    <x v="180"/>
    <x v="1"/>
    <x v="0"/>
    <x v="1"/>
    <x v="0"/>
    <n v="8"/>
    <s v="HR"/>
    <s v="business-apps"/>
    <s v="Conference room display shows no HDMI signal."/>
    <s v="Conference room display shows no HDMI signal. Reported by Yvette from Finance."/>
    <b v="0"/>
    <b v="0"/>
  </r>
  <r>
    <n v="200"/>
    <d v="2024-01-14T09:39:29"/>
    <d v="2024-01-14T11:23:04"/>
    <x v="181"/>
    <x v="0"/>
    <x v="0"/>
    <x v="2"/>
    <x v="0"/>
    <n v="7"/>
    <s v="Sales"/>
    <s v="business-apps"/>
    <s v="Scanner firmware update broke keyboard wedge mode."/>
    <s v="Scanner firmware update broke keyboard wedge mode. Reported by Mary from HR."/>
    <b v="0"/>
    <b v="0"/>
  </r>
  <r>
    <n v="201"/>
    <d v="2024-01-14T10:27:54"/>
    <d v="2024-01-14T16:19:50"/>
    <x v="182"/>
    <x v="1"/>
    <x v="0"/>
    <x v="1"/>
    <x v="5"/>
    <n v="3"/>
    <s v="Sales"/>
    <s v="endpoint"/>
    <s v="Customer portal SSO redirects to blank page."/>
    <s v="Customer portal SSO redirects to blank page. Reported by Tanya from Warehouse."/>
    <b v="0"/>
    <b v="0"/>
  </r>
  <r>
    <n v="202"/>
    <d v="2024-01-14T16:29:19"/>
    <d v="2024-01-14T18:46:09"/>
    <x v="183"/>
    <x v="1"/>
    <x v="1"/>
    <x v="1"/>
    <x v="2"/>
    <n v="8"/>
    <s v="IT"/>
    <s v="saas"/>
    <s v="Slack notifications delayed for customer support queue."/>
    <s v="Slack notifications delayed for customer support queue. Reported by Sara from Warehouse."/>
    <b v="0"/>
    <b v="0"/>
  </r>
  <r>
    <n v="203"/>
    <d v="2024-01-14T17:19:21"/>
    <d v="2024-01-15T07:55:23"/>
    <x v="184"/>
    <x v="2"/>
    <x v="0"/>
    <x v="1"/>
    <x v="6"/>
    <n v="10"/>
    <s v="IT"/>
    <s v="identity"/>
    <s v="Barcode labels printing with incorrect dimensions."/>
    <s v="Barcode labels printing with incorrect dimensions. Reported by Melinda from Warehouse."/>
    <b v="0"/>
    <b v="0"/>
  </r>
  <r>
    <n v="204"/>
    <d v="2024-01-14T20:34:14"/>
    <d v="2024-01-15T01:56:31"/>
    <x v="185"/>
    <x v="1"/>
    <x v="0"/>
    <x v="0"/>
    <x v="6"/>
    <n v="7"/>
    <s v="Operations"/>
    <s v="identity"/>
    <s v="Finance cannot export month-end AP aging report."/>
    <s v="Finance cannot export month-end AP aging report. Reported by Gabriel from Sales."/>
    <b v="1"/>
    <b v="0"/>
  </r>
  <r>
    <n v="205"/>
    <d v="2024-01-14T22:17:34"/>
    <d v="2024-01-15T13:48:44"/>
    <x v="186"/>
    <x v="2"/>
    <x v="1"/>
    <x v="0"/>
    <x v="0"/>
    <n v="8"/>
    <s v="IT"/>
    <s v="business-apps"/>
    <s v="VPN client update failed with rollback error."/>
    <s v="VPN client update failed with rollback error. Reported by Todd from Warehouse."/>
    <b v="0"/>
    <b v="0"/>
  </r>
  <r>
    <n v="206"/>
    <d v="2024-01-14T23:58:03"/>
    <d v="2024-01-15T01:31:06"/>
    <x v="187"/>
    <x v="1"/>
    <x v="1"/>
    <x v="0"/>
    <x v="5"/>
    <n v="9"/>
    <s v="Warehouse"/>
    <s v="endpoint"/>
    <s v="Excel add-in blocked by security policy."/>
    <s v="Excel add-in blocked by security policy. Reported by Jason from Warehouse."/>
    <b v="0"/>
    <b v="0"/>
  </r>
  <r>
    <n v="207"/>
    <d v="2024-01-15T01:29:30"/>
    <d v="2024-01-15T06:00:42"/>
    <x v="188"/>
    <x v="2"/>
    <x v="0"/>
    <x v="0"/>
    <x v="4"/>
    <n v="8"/>
    <s v="IT"/>
    <s v="network"/>
    <s v="Print queue stalled for shipping label batch."/>
    <s v="Print queue stalled for shipping label batch. Reported by Richard from Operations."/>
    <b v="0"/>
    <b v="0"/>
  </r>
  <r>
    <n v="208"/>
    <d v="2024-01-15T02:15:11"/>
    <d v="2024-01-15T04:26:46"/>
    <x v="189"/>
    <x v="1"/>
    <x v="0"/>
    <x v="1"/>
    <x v="4"/>
    <n v="9"/>
    <s v="Finance"/>
    <s v="network"/>
    <s v="Printer on dock 4 is stuck in offline state."/>
    <s v="Printer on dock 4 is stuck in offline state. Reported by Brian from Sales."/>
    <b v="0"/>
    <b v="0"/>
  </r>
  <r>
    <n v="209"/>
    <d v="2024-01-15T03:14:42"/>
    <d v="2024-01-15T16:55:28"/>
    <x v="190"/>
    <x v="2"/>
    <x v="1"/>
    <x v="0"/>
    <x v="2"/>
    <n v="3"/>
    <s v="IT"/>
    <s v="saas"/>
    <s v="VPN outage reported by remote finance staff."/>
    <s v="VPN outage reported by remote finance staff. Reported by Nicholas from Finance."/>
    <b v="0"/>
    <b v="0"/>
  </r>
  <r>
    <n v="210"/>
    <d v="2024-01-15T03:15:57"/>
    <d v="2024-01-15T17:59:21"/>
    <x v="191"/>
    <x v="2"/>
    <x v="1"/>
    <x v="1"/>
    <x v="7"/>
    <n v="4"/>
    <s v="Sales"/>
    <s v="peripherals"/>
    <s v="Service account password expired on integration job."/>
    <s v="Service account password expired on integration job. Reported by Tricia from Operations."/>
    <b v="0"/>
    <b v="0"/>
  </r>
  <r>
    <n v="211"/>
    <d v="2024-01-15T05:38:02"/>
    <d v="2024-01-15T12:38:54"/>
    <x v="192"/>
    <x v="1"/>
    <x v="0"/>
    <x v="2"/>
    <x v="2"/>
    <n v="2"/>
    <s v="Operations"/>
    <s v="saas"/>
    <s v="Distribution center users cannot reach file server."/>
    <s v="Distribution center users cannot reach file server. Reported by Joseph from Operations."/>
    <b v="0"/>
    <b v="0"/>
  </r>
  <r>
    <n v="212"/>
    <d v="2024-01-15T05:59:30"/>
    <d v="2024-01-15T13:00:55"/>
    <x v="193"/>
    <x v="1"/>
    <x v="0"/>
    <x v="2"/>
    <x v="3"/>
    <n v="2"/>
    <s v="Sales"/>
    <s v="security"/>
    <s v="Barcode labels printing with incorrect dimensions."/>
    <s v="Barcode labels printing with incorrect dimensions. Reported by Kristen from Sales."/>
    <b v="0"/>
    <b v="0"/>
  </r>
  <r>
    <n v="213"/>
    <d v="2024-01-15T06:17:55"/>
    <d v="2024-01-15T16:56:19"/>
    <x v="194"/>
    <x v="2"/>
    <x v="0"/>
    <x v="0"/>
    <x v="2"/>
    <n v="6"/>
    <s v="Finance"/>
    <s v="saas"/>
    <s v="User cannot map shared drive from new laptop."/>
    <s v="User cannot map shared drive from new laptop. Reported by Spencer from Sales."/>
    <b v="0"/>
    <b v="0"/>
  </r>
  <r>
    <n v="214"/>
    <d v="2024-01-15T08:24:39"/>
    <d v="2024-01-15T11:24:48"/>
    <x v="10"/>
    <x v="1"/>
    <x v="3"/>
    <x v="0"/>
    <x v="1"/>
    <n v="10"/>
    <s v="Operations"/>
    <s v="voice"/>
    <s v="M365 outage causing login failures across offices."/>
    <s v="M365 outage causing login failures across offices. Reported by Rodney from Sales."/>
    <b v="0"/>
    <b v="0"/>
  </r>
  <r>
    <n v="215"/>
    <d v="2024-01-15T14:32:15"/>
    <d v="2024-01-15T19:11:45"/>
    <x v="195"/>
    <x v="1"/>
    <x v="0"/>
    <x v="0"/>
    <x v="1"/>
    <n v="3"/>
    <s v="Sales"/>
    <s v="voice"/>
    <s v="Excel add-in blocked by security policy."/>
    <s v="Excel add-in blocked by security policy. Reported by Susan from Finance."/>
    <b v="0"/>
    <b v="0"/>
  </r>
  <r>
    <n v="216"/>
    <d v="2024-01-15T15:28:21"/>
    <d v="2024-01-15T17:24:35"/>
    <x v="196"/>
    <x v="1"/>
    <x v="1"/>
    <x v="3"/>
    <x v="2"/>
    <n v="8"/>
    <s v="Operations"/>
    <s v="saas"/>
    <s v="Teams meeting room camera flickers after restart."/>
    <s v="Teams meeting room camera flickers after restart. Reported by Wendy from Operations."/>
    <b v="0"/>
    <b v="0"/>
  </r>
  <r>
    <n v="217"/>
    <d v="2024-01-15T15:49:39"/>
    <d v="2024-01-15T21:44:09"/>
    <x v="197"/>
    <x v="2"/>
    <x v="0"/>
    <x v="0"/>
    <x v="3"/>
    <n v="1"/>
    <s v="Operations"/>
    <s v="security"/>
    <s v="VPN fails only for users in Phoenix office."/>
    <s v="VPN fails only for users in Phoenix office. Reported by Angela from Operations."/>
    <b v="0"/>
    <b v="0"/>
  </r>
  <r>
    <n v="218"/>
    <d v="2024-01-15T19:09:11"/>
    <d v="2024-01-15T19:45:25"/>
    <x v="198"/>
    <x v="3"/>
    <x v="0"/>
    <x v="0"/>
    <x v="2"/>
    <n v="10"/>
    <s v="Operations"/>
    <s v="saas"/>
    <s v="Warehouse RF gun drops Wi-Fi in aisle B."/>
    <s v="Warehouse RF gun drops Wi-Fi in aisle B. Reported by Jennifer from Finance."/>
    <b v="1"/>
    <b v="0"/>
  </r>
  <r>
    <n v="219"/>
    <d v="2024-01-15T19:32:41"/>
    <d v="2024-01-16T01:23:11"/>
    <x v="199"/>
    <x v="1"/>
    <x v="0"/>
    <x v="0"/>
    <x v="1"/>
    <n v="6"/>
    <s v="Warehouse"/>
    <s v="voice"/>
    <s v="New contractor needs temporary access to WMS."/>
    <s v="New contractor needs temporary access to WMS. Reported by Eric from Sales."/>
    <b v="0"/>
    <b v="0"/>
  </r>
  <r>
    <n v="220"/>
    <d v="2024-01-15T22:43:15"/>
    <d v="2024-01-16T00:15:02"/>
    <x v="200"/>
    <x v="1"/>
    <x v="0"/>
    <x v="2"/>
    <x v="3"/>
    <n v="5"/>
    <s v="Sales"/>
    <s v="security"/>
    <s v="BitLocker recovery key prompt appears at boot."/>
    <s v="BitLocker recovery key prompt appears at boot. Reported by Kenneth from Warehouse."/>
    <b v="0"/>
    <b v="0"/>
  </r>
  <r>
    <n v="221"/>
    <d v="2024-01-15T23:47:56"/>
    <d v="2024-01-16T06:48:57"/>
    <x v="201"/>
    <x v="1"/>
    <x v="0"/>
    <x v="2"/>
    <x v="4"/>
    <n v="4"/>
    <s v="HR"/>
    <s v="network"/>
    <s v="Shared mailbox permissions disappeared overnight."/>
    <s v="Shared mailbox permissions disappeared overnight. Reported by Tanya from Sales."/>
    <b v="0"/>
    <b v="0"/>
  </r>
  <r>
    <n v="222"/>
    <d v="2024-01-16T01:45:59"/>
    <d v="2024-01-16T04:18:33"/>
    <x v="202"/>
    <x v="2"/>
    <x v="1"/>
    <x v="3"/>
    <x v="4"/>
    <n v="10"/>
    <s v="Operations"/>
    <s v="network"/>
    <s v="Voicemail transcription unavailable in mobile app."/>
    <s v="Voicemail transcription unavailable in mobile app. Reported by Beth from Sales."/>
    <b v="0"/>
    <b v="0"/>
  </r>
  <r>
    <n v="223"/>
    <d v="2024-01-16T03:11:15"/>
    <d v="2024-01-16T10:56:49"/>
    <x v="203"/>
    <x v="1"/>
    <x v="0"/>
    <x v="0"/>
    <x v="1"/>
    <n v="5"/>
    <s v="IT"/>
    <s v="voice"/>
    <s v="Citrix launch freezes on black screen."/>
    <s v="Citrix launch freezes on black screen. Reported by Amy from HR."/>
    <b v="0"/>
    <b v="0"/>
  </r>
  <r>
    <n v="224"/>
    <d v="2024-01-16T04:11:17"/>
    <d v="2024-01-16T05:22:43"/>
    <x v="204"/>
    <x v="1"/>
    <x v="0"/>
    <x v="0"/>
    <x v="0"/>
    <n v="2"/>
    <s v="Sales"/>
    <s v="business-apps"/>
    <s v="Conference room display shows no HDMI signal."/>
    <s v="Conference room display shows no HDMI signal. Reported by Julie from Finance."/>
    <b v="0"/>
    <b v="0"/>
  </r>
  <r>
    <n v="225"/>
    <d v="2024-01-16T04:13:22"/>
    <d v="2024-01-16T10:57:11"/>
    <x v="10"/>
    <x v="1"/>
    <x v="3"/>
    <x v="1"/>
    <x v="7"/>
    <n v="6"/>
    <s v="Operations"/>
    <s v="peripherals"/>
    <s v="Email signatures disappeared for sales team."/>
    <s v="Email signatures disappeared for sales team. Reported by Brian from Sales."/>
    <b v="0"/>
    <b v="0"/>
  </r>
  <r>
    <n v="226"/>
    <d v="2024-01-16T06:36:00"/>
    <d v="2024-01-16T09:39:00"/>
    <x v="205"/>
    <x v="1"/>
    <x v="0"/>
    <x v="0"/>
    <x v="7"/>
    <n v="6"/>
    <s v="Finance"/>
    <s v="peripherals"/>
    <s v="Procurement team reports ERP attachments missing."/>
    <s v="Procurement team reports ERP attachments missing. Reported by Breanna from Sales."/>
    <b v="0"/>
    <b v="0"/>
  </r>
  <r>
    <n v="227"/>
    <d v="2024-01-16T06:41:24"/>
    <d v="2024-01-17T02:15:31"/>
    <x v="206"/>
    <x v="2"/>
    <x v="1"/>
    <x v="0"/>
    <x v="5"/>
    <n v="8"/>
    <s v="Warehouse"/>
    <s v="endpoint"/>
    <s v="Teams calls dropping audio after two minutes."/>
    <s v="Teams calls dropping audio after two minutes. Reported by Wesley from HR."/>
    <b v="0"/>
    <b v="0"/>
  </r>
  <r>
    <n v="228"/>
    <d v="2024-01-16T07:12:40"/>
    <d v="2024-01-16T10:09:42"/>
    <x v="207"/>
    <x v="0"/>
    <x v="0"/>
    <x v="3"/>
    <x v="5"/>
    <n v="5"/>
    <s v="Sales"/>
    <s v="endpoint"/>
    <s v="User cannot map shared drive from new laptop."/>
    <s v="User cannot map shared drive from new laptop. Reported by Melissa from Operations."/>
    <b v="1"/>
    <b v="0"/>
  </r>
  <r>
    <n v="229"/>
    <d v="2024-01-16T10:05:12"/>
    <d v="2024-01-16T13:26:34"/>
    <x v="208"/>
    <x v="2"/>
    <x v="0"/>
    <x v="2"/>
    <x v="1"/>
    <n v="3"/>
    <s v="Warehouse"/>
    <s v="voice"/>
    <s v="Password reset loop continues after successful change."/>
    <s v="Password reset loop continues after successful change. Reported by Eric from Operations."/>
    <b v="0"/>
    <b v="0"/>
  </r>
  <r>
    <n v="230"/>
    <d v="2024-01-16T10:42:18"/>
    <d v="2024-01-16T17:50:08"/>
    <x v="209"/>
    <x v="1"/>
    <x v="0"/>
    <x v="2"/>
    <x v="4"/>
    <n v="1"/>
    <s v="IT"/>
    <s v="network"/>
    <s v="Finance cannot export month-end AP aging report."/>
    <s v="Finance cannot export month-end AP aging report. Reported by Susan from Sales."/>
    <b v="0"/>
    <b v="0"/>
  </r>
  <r>
    <n v="231"/>
    <d v="2024-01-16T11:12:12"/>
    <d v="2024-01-16T15:36:35"/>
    <x v="10"/>
    <x v="2"/>
    <x v="3"/>
    <x v="3"/>
    <x v="3"/>
    <n v="10"/>
    <s v="Sales"/>
    <s v="security"/>
    <s v="Email signatures disappeared for sales team."/>
    <s v="Email signatures disappeared for sales team. Reported by Christopher from Warehouse."/>
    <b v="1"/>
    <b v="0"/>
  </r>
  <r>
    <n v="232"/>
    <d v="2024-01-16T13:44:05"/>
    <d v="2024-01-16T18:37:35"/>
    <x v="210"/>
    <x v="1"/>
    <x v="0"/>
    <x v="0"/>
    <x v="4"/>
    <n v="2"/>
    <s v="IT"/>
    <s v="network"/>
    <s v="Spam burst hit shared support inbox this morning."/>
    <s v="Spam burst hit shared support inbox this morning. Reported by Jacob from Sales."/>
    <b v="0"/>
    <b v="0"/>
  </r>
  <r>
    <n v="233"/>
    <d v="2024-01-16T15:10:35"/>
    <d v="2024-01-16T19:08:08"/>
    <x v="211"/>
    <x v="1"/>
    <x v="0"/>
    <x v="0"/>
    <x v="3"/>
    <n v="4"/>
    <s v="HR"/>
    <s v="security"/>
    <s v="VPN client update failed with rollback error."/>
    <s v="VPN client update failed with rollback error. Reported by Brooke from Operations."/>
    <b v="0"/>
    <b v="0"/>
  </r>
  <r>
    <n v="234"/>
    <d v="2024-01-16T16:28:31"/>
    <d v="2024-01-16T17:56:36"/>
    <x v="10"/>
    <x v="0"/>
    <x v="3"/>
    <x v="0"/>
    <x v="0"/>
    <n v="2"/>
    <s v="IT"/>
    <s v="business-apps"/>
    <s v="VPN client update failed with rollback error."/>
    <s v="VPN client update failed with rollback error. Reported by Emma from HR."/>
    <b v="0"/>
    <b v="0"/>
  </r>
  <r>
    <n v="235"/>
    <d v="2024-01-16T17:37:55"/>
    <d v="2024-01-17T09:53:30"/>
    <x v="212"/>
    <x v="2"/>
    <x v="0"/>
    <x v="0"/>
    <x v="6"/>
    <n v="3"/>
    <s v="Finance"/>
    <s v="identity"/>
    <s v="CEO calendar delegate can no longer edit events."/>
    <s v="CEO calendar delegate can no longer edit events. Reported by Joe from Warehouse."/>
    <b v="0"/>
    <b v="0"/>
  </r>
  <r>
    <n v="236"/>
    <d v="2024-01-16T18:55:47"/>
    <d v="2024-01-17T03:38:35"/>
    <x v="213"/>
    <x v="2"/>
    <x v="0"/>
    <x v="2"/>
    <x v="4"/>
    <n v="1"/>
    <s v="Finance"/>
    <s v="network"/>
    <s v="Outlook keeps prompting for password on Mac."/>
    <s v="Outlook keeps prompting for password on Mac. Reported by David from Operations."/>
    <b v="0"/>
    <b v="0"/>
  </r>
  <r>
    <n v="237"/>
    <d v="2024-01-16T19:55:02"/>
    <d v="2024-01-16T23:48:05"/>
    <x v="214"/>
    <x v="1"/>
    <x v="0"/>
    <x v="1"/>
    <x v="1"/>
    <n v="4"/>
    <s v="Warehouse"/>
    <s v="voice"/>
    <s v="Teams channels inaccessible during tenant incident."/>
    <s v="Teams channels inaccessible during tenant incident. Reported by Pamela from Finance."/>
    <b v="0"/>
    <b v="0"/>
  </r>
  <r>
    <n v="238"/>
    <d v="2024-01-16T21:22:21"/>
    <d v="2024-01-17T13:26:53"/>
    <x v="215"/>
    <x v="2"/>
    <x v="0"/>
    <x v="3"/>
    <x v="5"/>
    <n v="10"/>
    <s v="IT"/>
    <s v="endpoint"/>
    <s v="Print queue stalled for shipping label batch."/>
    <s v="Print queue stalled for shipping label batch. Reported by John from Finance."/>
    <b v="0"/>
    <b v="0"/>
  </r>
  <r>
    <n v="239"/>
    <d v="2024-01-16T22:46:05"/>
    <d v="2024-01-17T05:45:40"/>
    <x v="216"/>
    <x v="1"/>
    <x v="0"/>
    <x v="1"/>
    <x v="5"/>
    <n v="3"/>
    <s v="Operations"/>
    <s v="endpoint"/>
    <s v="VPN fails only for users in Phoenix office."/>
    <s v="VPN fails only for users in Phoenix office. Reported by Brooke from Warehouse."/>
    <b v="0"/>
    <b v="0"/>
  </r>
  <r>
    <n v="240"/>
    <d v="2024-01-17T01:34:32"/>
    <d v="2024-01-17T08:45:17"/>
    <x v="217"/>
    <x v="1"/>
    <x v="0"/>
    <x v="3"/>
    <x v="5"/>
    <n v="10"/>
    <s v="Sales"/>
    <s v="endpoint"/>
    <s v="Conference room display shows no HDMI signal."/>
    <s v="Conference room display shows no HDMI signal. Reported by Christine from Sales."/>
    <b v="0"/>
    <b v="0"/>
  </r>
  <r>
    <n v="241"/>
    <d v="2024-01-17T03:41:40"/>
    <d v="2024-01-17T06:03:03"/>
    <x v="218"/>
    <x v="2"/>
    <x v="0"/>
    <x v="2"/>
    <x v="0"/>
    <n v="7"/>
    <s v="Warehouse"/>
    <s v="business-apps"/>
    <s v="Laptop blue-screened during payroll export."/>
    <s v="Laptop blue-screened during payroll export. Reported by Robert from Finance."/>
    <b v="0"/>
    <b v="0"/>
  </r>
  <r>
    <n v="242"/>
    <d v="2024-01-17T04:39:19"/>
    <d v="2024-01-17T07:11:48"/>
    <x v="219"/>
    <x v="0"/>
    <x v="0"/>
    <x v="0"/>
    <x v="3"/>
    <n v="9"/>
    <s v="IT"/>
    <s v="security"/>
    <s v="Email signatures disappeared for sales team."/>
    <s v="Email signatures disappeared for sales team. Reported by Brandy from Operations."/>
    <b v="0"/>
    <b v="0"/>
  </r>
  <r>
    <n v="243"/>
    <d v="2024-01-17T06:09:12"/>
    <d v="2024-01-17T21:23:23"/>
    <x v="220"/>
    <x v="2"/>
    <x v="0"/>
    <x v="0"/>
    <x v="1"/>
    <n v="7"/>
    <s v="Finance"/>
    <s v="voice"/>
    <s v="Teams calls dropping audio after two minutes."/>
    <s v="Teams calls dropping audio after two minutes. Reported by Alexandra from Operations."/>
    <b v="0"/>
    <b v="0"/>
  </r>
  <r>
    <n v="244"/>
    <d v="2024-01-17T10:28:41"/>
    <d v="2024-01-17T15:11:42"/>
    <x v="221"/>
    <x v="2"/>
    <x v="0"/>
    <x v="2"/>
    <x v="1"/>
    <n v="10"/>
    <s v="Sales"/>
    <s v="voice"/>
    <s v="Teams channels inaccessible during tenant incident."/>
    <s v="Teams channels inaccessible during tenant incident. Reported by Sarah from Warehouse."/>
    <b v="0"/>
    <b v="0"/>
  </r>
  <r>
    <n v="245"/>
    <d v="2024-01-17T11:57:54"/>
    <d v="2024-01-17T16:47:19"/>
    <x v="222"/>
    <x v="2"/>
    <x v="1"/>
    <x v="0"/>
    <x v="1"/>
    <n v="6"/>
    <s v="Finance"/>
    <s v="voice"/>
    <s v="Warehouse tablet battery draining within one shift."/>
    <s v="Warehouse tablet battery draining within one shift. Reported by James from HR."/>
    <b v="0"/>
    <b v="0"/>
  </r>
  <r>
    <n v="246"/>
    <d v="2024-01-17T12:54:32"/>
    <d v="2024-01-18T04:43:38"/>
    <x v="223"/>
    <x v="2"/>
    <x v="0"/>
    <x v="0"/>
    <x v="1"/>
    <n v="9"/>
    <s v="HR"/>
    <s v="voice"/>
    <s v="Procurement team reports ERP attachments missing."/>
    <s v="Procurement team reports ERP attachments missing. Reported by Jennifer from HR."/>
    <b v="0"/>
    <b v="0"/>
  </r>
  <r>
    <n v="247"/>
    <d v="2024-01-17T12:58:53"/>
    <d v="2024-01-17T20:57:08"/>
    <x v="224"/>
    <x v="1"/>
    <x v="0"/>
    <x v="3"/>
    <x v="0"/>
    <n v="1"/>
    <s v="Operations"/>
    <s v="business-apps"/>
    <s v="Spam burst hit shared support inbox this morning."/>
    <s v="Spam burst hit shared support inbox this morning. Reported by John from Finance."/>
    <b v="0"/>
    <b v="0"/>
  </r>
  <r>
    <n v="248"/>
    <d v="2024-01-17T13:29:50"/>
    <d v="2024-01-17T17:21:52"/>
    <x v="225"/>
    <x v="1"/>
    <x v="0"/>
    <x v="0"/>
    <x v="3"/>
    <n v="10"/>
    <s v="IT"/>
    <s v="security"/>
    <s v="Distribution center users cannot reach file server."/>
    <s v="Distribution center users cannot reach file server. Reported by Randy from Sales."/>
    <b v="0"/>
    <b v="0"/>
  </r>
  <r>
    <n v="249"/>
    <d v="2024-01-17T15:21:43"/>
    <d v="2024-01-17T17:13:53"/>
    <x v="226"/>
    <x v="0"/>
    <x v="0"/>
    <x v="1"/>
    <x v="7"/>
    <n v="1"/>
    <s v="Sales"/>
    <s v="peripherals"/>
    <s v="CEO calendar delegate can no longer edit events."/>
    <s v="CEO calendar delegate can no longer edit events. Reported by Emily from HR."/>
    <b v="0"/>
    <b v="0"/>
  </r>
  <r>
    <n v="250"/>
    <d v="2024-01-17T17:41:51"/>
    <d v="2024-01-18T04:23:03"/>
    <x v="227"/>
    <x v="2"/>
    <x v="0"/>
    <x v="0"/>
    <x v="5"/>
    <n v="2"/>
    <s v="HR"/>
    <s v="endpoint"/>
    <s v="Slack notifications delayed for customer support queue."/>
    <s v="Slack notifications delayed for customer support queue. Reported by Kevin from Warehouse."/>
    <b v="0"/>
    <b v="0"/>
  </r>
  <r>
    <n v="251"/>
    <d v="2024-01-17T22:40:25"/>
    <d v="2024-01-18T00:12:00"/>
    <x v="228"/>
    <x v="0"/>
    <x v="0"/>
    <x v="2"/>
    <x v="6"/>
    <n v="8"/>
    <s v="Operations"/>
    <s v="identity"/>
    <s v="ERP purchase order screen timing out for AP team."/>
    <s v="ERP purchase order screen timing out for AP team. Reported by Leslie from Sales."/>
    <b v="0"/>
    <b v="0"/>
  </r>
  <r>
    <n v="252"/>
    <d v="2024-01-18T02:13:03"/>
    <d v="2024-01-18T08:48:29"/>
    <x v="229"/>
    <x v="2"/>
    <x v="0"/>
    <x v="2"/>
    <x v="6"/>
    <n v="3"/>
    <s v="Warehouse"/>
    <s v="identity"/>
    <s v="Warehouse RF gun drops Wi-Fi in aisle B."/>
    <s v="Warehouse RF gun drops Wi-Fi in aisle B. Reported by Karen from HR."/>
    <b v="0"/>
    <b v="0"/>
  </r>
  <r>
    <n v="253"/>
    <d v="2024-01-18T02:22:59"/>
    <d v="2024-01-18T06:53:11"/>
    <x v="230"/>
    <x v="1"/>
    <x v="0"/>
    <x v="0"/>
    <x v="4"/>
    <n v="1"/>
    <s v="Finance"/>
    <s v="network"/>
    <s v="MFA push not arriving on replacement phone."/>
    <s v="MFA push not arriving on replacement phone. Reported by Charles from Finance."/>
    <b v="0"/>
    <b v="0"/>
  </r>
  <r>
    <n v="254"/>
    <d v="2024-01-18T02:41:22"/>
    <d v="2024-01-18T04:25:35"/>
    <x v="10"/>
    <x v="0"/>
    <x v="2"/>
    <x v="0"/>
    <x v="2"/>
    <n v="9"/>
    <s v="Finance"/>
    <s v="saas"/>
    <s v="New contractor needs temporary access to WMS."/>
    <s v="New contractor needs temporary access to WMS. Reported by Stephen from HR."/>
    <b v="0"/>
    <b v="0"/>
  </r>
  <r>
    <n v="255"/>
    <d v="2024-01-18T04:25:34"/>
    <d v="2024-01-18T06:20:39"/>
    <x v="231"/>
    <x v="0"/>
    <x v="0"/>
    <x v="2"/>
    <x v="7"/>
    <n v="6"/>
    <s v="Operations"/>
    <s v="peripherals"/>
    <s v="Excel add-in blocked by security policy."/>
    <s v="Excel add-in blocked by security policy. Reported by Yolanda from HR."/>
    <b v="0"/>
    <b v="0"/>
  </r>
  <r>
    <n v="256"/>
    <d v="2024-01-18T06:22:48"/>
    <d v="2024-01-18T12:10:36"/>
    <x v="232"/>
    <x v="2"/>
    <x v="0"/>
    <x v="2"/>
    <x v="0"/>
    <n v="5"/>
    <s v="Finance"/>
    <s v="business-apps"/>
    <s v="Distribution center users cannot reach file server."/>
    <s v="Distribution center users cannot reach file server. Reported by Wendy from Warehouse."/>
    <b v="0"/>
    <b v="0"/>
  </r>
  <r>
    <n v="257"/>
    <d v="2024-01-18T07:55:17"/>
    <d v="2024-01-18T13:41:38"/>
    <x v="233"/>
    <x v="1"/>
    <x v="0"/>
    <x v="0"/>
    <x v="4"/>
    <n v="4"/>
    <s v="Operations"/>
    <s v="network"/>
    <s v="Sales laptop webcam missing from device manager."/>
    <s v="Sales laptop webcam missing from device manager. Reported by Charles from HR."/>
    <b v="0"/>
    <b v="0"/>
  </r>
  <r>
    <n v="258"/>
    <d v="2024-01-18T07:55:55"/>
    <d v="2024-01-18T12:26:22"/>
    <x v="234"/>
    <x v="1"/>
    <x v="0"/>
    <x v="2"/>
    <x v="7"/>
    <n v="8"/>
    <s v="HR"/>
    <s v="peripherals"/>
    <s v="CEO calendar delegate can no longer edit events."/>
    <s v="CEO calendar delegate can no longer edit events. Reported by Jason from HR."/>
    <b v="0"/>
    <b v="0"/>
  </r>
  <r>
    <n v="259"/>
    <d v="2024-01-18T08:15:14"/>
    <d v="2024-01-18T08:52:15"/>
    <x v="235"/>
    <x v="0"/>
    <x v="0"/>
    <x v="0"/>
    <x v="3"/>
    <n v="4"/>
    <s v="Finance"/>
    <s v="security"/>
    <s v="Spam burst hit shared support inbox this morning."/>
    <s v="Spam burst hit shared support inbox this morning. Reported by Joseph from Warehouse."/>
    <b v="0"/>
    <b v="0"/>
  </r>
  <r>
    <n v="260"/>
    <d v="2024-01-18T09:32:44"/>
    <d v="2024-01-18T14:03:04"/>
    <x v="236"/>
    <x v="1"/>
    <x v="0"/>
    <x v="0"/>
    <x v="5"/>
    <n v="6"/>
    <s v="Finance"/>
    <s v="endpoint"/>
    <s v="Scanner cradle not charging overnight."/>
    <s v="Scanner cradle not charging overnight. Reported by Sarah from Finance."/>
    <b v="0"/>
    <b v="0"/>
  </r>
  <r>
    <n v="261"/>
    <d v="2024-01-18T10:52:10"/>
    <d v="2024-01-19T02:57:09"/>
    <x v="237"/>
    <x v="2"/>
    <x v="0"/>
    <x v="3"/>
    <x v="4"/>
    <n v="2"/>
    <s v="Sales"/>
    <s v="network"/>
    <s v="Label printer feeds blank stock after maintenance."/>
    <s v="Label printer feeds blank stock after maintenance. Reported by Nicole from Operations."/>
    <b v="0"/>
    <b v="0"/>
  </r>
  <r>
    <n v="262"/>
    <d v="2024-01-18T14:31:25"/>
    <d v="2024-01-18T19:22:34"/>
    <x v="238"/>
    <x v="1"/>
    <x v="0"/>
    <x v="0"/>
    <x v="1"/>
    <n v="4"/>
    <s v="IT"/>
    <s v="voice"/>
    <s v="Voicemail transcription unavailable in mobile app."/>
    <s v="Voicemail transcription unavailable in mobile app. Reported by Natasha from Operations."/>
    <b v="0"/>
    <b v="0"/>
  </r>
  <r>
    <n v="263"/>
    <d v="2024-01-18T16:38:26"/>
    <d v="2024-01-18T21:36:06"/>
    <x v="239"/>
    <x v="1"/>
    <x v="0"/>
    <x v="2"/>
    <x v="1"/>
    <n v="1"/>
    <s v="HR"/>
    <s v="voice"/>
    <s v="Procurement team reports ERP attachments missing."/>
    <s v="Procurement team reports ERP attachments missing. Reported by Mike from Operations."/>
    <b v="0"/>
    <b v="0"/>
  </r>
  <r>
    <n v="264"/>
    <d v="2024-01-18T18:31:04"/>
    <d v="2024-01-18T22:37:02"/>
    <x v="10"/>
    <x v="1"/>
    <x v="3"/>
    <x v="2"/>
    <x v="4"/>
    <n v="3"/>
    <s v="HR"/>
    <s v="network"/>
    <s v="Spam burst hit shared support inbox this morning."/>
    <s v="Spam burst hit shared support inbox this morning. Reported by Eric from Operations."/>
    <b v="1"/>
    <b v="0"/>
  </r>
  <r>
    <n v="265"/>
    <d v="2024-01-18T19:42:23"/>
    <d v="2024-01-18T20:27:08"/>
    <x v="240"/>
    <x v="3"/>
    <x v="1"/>
    <x v="1"/>
    <x v="0"/>
    <n v="4"/>
    <s v="HR"/>
    <s v="business-apps"/>
    <s v="New Zebra printer not visible to shipping station."/>
    <s v="New Zebra printer not visible to shipping station. Reported by Martha from Sales."/>
    <b v="1"/>
    <b v="0"/>
  </r>
  <r>
    <n v="266"/>
    <d v="2024-01-18T23:52:12"/>
    <d v="2024-01-19T01:21:47"/>
    <x v="241"/>
    <x v="1"/>
    <x v="0"/>
    <x v="0"/>
    <x v="0"/>
    <n v="8"/>
    <s v="Operations"/>
    <s v="business-apps"/>
    <s v="SSO certificate warning shown on benefits portal."/>
    <s v="SSO certificate warning shown on benefits portal. Reported by Jade from Warehouse."/>
    <b v="0"/>
    <b v="0"/>
  </r>
  <r>
    <n v="267"/>
    <d v="2024-01-19T06:31:46"/>
    <d v="2024-01-19T07:07:40"/>
    <x v="242"/>
    <x v="0"/>
    <x v="0"/>
    <x v="2"/>
    <x v="7"/>
    <n v="9"/>
    <s v="Finance"/>
    <s v="peripherals"/>
    <s v="Teams meeting room camera flickers after restart."/>
    <s v="Teams meeting room camera flickers after restart. Reported by Cheryl from Sales."/>
    <b v="0"/>
    <b v="0"/>
  </r>
  <r>
    <n v="268"/>
    <d v="2024-01-19T09:48:09"/>
    <d v="2024-01-19T10:27:07"/>
    <x v="243"/>
    <x v="3"/>
    <x v="0"/>
    <x v="2"/>
    <x v="3"/>
    <n v="6"/>
    <s v="HR"/>
    <s v="security"/>
    <s v="Conference room display shows no HDMI signal."/>
    <s v="Conference room display shows no HDMI signal. Reported by Vanessa from Warehouse."/>
    <b v="1"/>
    <b v="0"/>
  </r>
  <r>
    <n v="269"/>
    <d v="2024-01-19T14:02:34"/>
    <d v="2024-01-19T15:10:46"/>
    <x v="244"/>
    <x v="0"/>
    <x v="0"/>
    <x v="0"/>
    <x v="6"/>
    <n v="10"/>
    <s v="Warehouse"/>
    <s v="identity"/>
    <s v="SSO certificate warning shown on benefits portal."/>
    <s v="SSO certificate warning shown on benefits portal. Reported by Destiny from HR."/>
    <b v="0"/>
    <b v="0"/>
  </r>
  <r>
    <n v="270"/>
    <d v="2024-01-19T14:53:57"/>
    <d v="2024-01-19T21:23:56"/>
    <x v="245"/>
    <x v="1"/>
    <x v="0"/>
    <x v="0"/>
    <x v="0"/>
    <n v="4"/>
    <s v="Sales"/>
    <s v="business-apps"/>
    <s v="Printer on dock 4 is stuck in offline state."/>
    <s v="Printer on dock 4 is stuck in offline state. Reported by Alan from HR."/>
    <b v="0"/>
    <b v="0"/>
  </r>
  <r>
    <n v="271"/>
    <d v="2024-01-19T15:37:51"/>
    <d v="2024-01-20T10:40:53"/>
    <x v="10"/>
    <x v="2"/>
    <x v="3"/>
    <x v="1"/>
    <x v="5"/>
    <n v="5"/>
    <s v="IT"/>
    <s v="endpoint"/>
    <s v="M365 outage causing login failures across offices."/>
    <s v="M365 outage causing login failures across offices. Reported by Lisa from HR."/>
    <b v="0"/>
    <b v="0"/>
  </r>
  <r>
    <n v="272"/>
    <d v="2024-01-19T19:02:10"/>
    <d v="2024-01-19T21:20:32"/>
    <x v="10"/>
    <x v="0"/>
    <x v="3"/>
    <x v="2"/>
    <x v="3"/>
    <n v="7"/>
    <s v="Finance"/>
    <s v="security"/>
    <s v="Shared mailbox permissions disappeared overnight."/>
    <s v="Shared mailbox permissions disappeared overnight. Reported by Kevin from Warehouse."/>
    <b v="0"/>
    <b v="0"/>
  </r>
  <r>
    <n v="273"/>
    <d v="2024-01-19T20:12:24"/>
    <d v="2024-01-20T13:20:55"/>
    <x v="246"/>
    <x v="2"/>
    <x v="0"/>
    <x v="0"/>
    <x v="0"/>
    <n v="2"/>
    <s v="HR"/>
    <s v="business-apps"/>
    <s v="Scanner firmware update broke keyboard wedge mode."/>
    <s v="Scanner firmware update broke keyboard wedge mode. Reported by Elizabeth from Operations."/>
    <b v="0"/>
    <b v="0"/>
  </r>
  <r>
    <n v="274"/>
    <d v="2024-01-19T20:23:39"/>
    <d v="2024-01-20T04:09:53"/>
    <x v="247"/>
    <x v="1"/>
    <x v="0"/>
    <x v="2"/>
    <x v="7"/>
    <n v="5"/>
    <s v="IT"/>
    <s v="peripherals"/>
    <s v="ERP purchase order screen timing out for AP team."/>
    <s v="ERP purchase order screen timing out for AP team. Reported by Sheila from Finance."/>
    <b v="0"/>
    <b v="0"/>
  </r>
  <r>
    <n v="275"/>
    <d v="2024-01-19T22:01:45"/>
    <d v="2024-01-20T04:33:17"/>
    <x v="248"/>
    <x v="2"/>
    <x v="0"/>
    <x v="2"/>
    <x v="1"/>
    <n v="9"/>
    <s v="Finance"/>
    <s v="voice"/>
    <s v="Procurement team reports ERP attachments missing."/>
    <s v="Procurement team reports ERP attachments missing. Reported by Dennis from Finance."/>
    <b v="1"/>
    <b v="0"/>
  </r>
  <r>
    <n v="276"/>
    <d v="2024-01-20T02:08:56"/>
    <d v="2024-01-20T03:15:51"/>
    <x v="249"/>
    <x v="1"/>
    <x v="0"/>
    <x v="0"/>
    <x v="3"/>
    <n v="5"/>
    <s v="Sales"/>
    <s v="security"/>
    <s v="Password reset loop continues after successful change."/>
    <s v="Password reset loop continues after successful change. Reported by Darrell from HR."/>
    <b v="0"/>
    <b v="0"/>
  </r>
  <r>
    <n v="277"/>
    <d v="2024-01-20T02:15:42"/>
    <d v="2024-01-20T18:41:40"/>
    <x v="250"/>
    <x v="2"/>
    <x v="0"/>
    <x v="0"/>
    <x v="3"/>
    <n v="10"/>
    <s v="Finance"/>
    <s v="security"/>
    <s v="Email signatures disappeared for sales team."/>
    <s v="Email signatures disappeared for sales team. Reported by Daniel from Sales."/>
    <b v="0"/>
    <b v="0"/>
  </r>
  <r>
    <n v="278"/>
    <d v="2024-01-20T04:56:46"/>
    <d v="2024-01-20T15:25:31"/>
    <x v="251"/>
    <x v="2"/>
    <x v="0"/>
    <x v="0"/>
    <x v="3"/>
    <n v="7"/>
    <s v="Operations"/>
    <s v="security"/>
    <s v="Procurement team reports ERP attachments missing."/>
    <s v="Procurement team reports ERP attachments missing. Reported by Angela from Operations."/>
    <b v="0"/>
    <b v="0"/>
  </r>
  <r>
    <n v="279"/>
    <d v="2024-01-20T05:59:19"/>
    <d v="2024-01-20T12:55:52"/>
    <x v="252"/>
    <x v="2"/>
    <x v="0"/>
    <x v="2"/>
    <x v="7"/>
    <n v="2"/>
    <s v="HR"/>
    <s v="peripherals"/>
    <s v="Mailbox forwarding rule recreated after removal."/>
    <s v="Mailbox forwarding rule recreated after removal. Reported by Joseph from Operations."/>
    <b v="0"/>
    <b v="0"/>
  </r>
  <r>
    <n v="280"/>
    <d v="2024-01-20T11:06:51"/>
    <d v="2024-01-20T23:11:05"/>
    <x v="253"/>
    <x v="2"/>
    <x v="0"/>
    <x v="2"/>
    <x v="2"/>
    <n v="5"/>
    <s v="HR"/>
    <s v="saas"/>
    <s v="Barcode labels printing with incorrect dimensions."/>
    <s v="Barcode labels printing with incorrect dimensions. Reported by Cassandra from Warehouse."/>
    <b v="0"/>
    <b v="0"/>
  </r>
  <r>
    <n v="281"/>
    <d v="2024-01-20T11:26:28"/>
    <d v="2024-01-20T13:12:52"/>
    <x v="254"/>
    <x v="0"/>
    <x v="0"/>
    <x v="0"/>
    <x v="4"/>
    <n v="4"/>
    <s v="IT"/>
    <s v="network"/>
    <s v="Scanner cradle not charging overnight."/>
    <s v="Scanner cradle not charging overnight. Reported by Jennifer from Warehouse."/>
    <b v="0"/>
    <b v="0"/>
  </r>
  <r>
    <n v="282"/>
    <d v="2024-01-20T11:31:45"/>
    <d v="2024-01-21T02:53:07"/>
    <x v="255"/>
    <x v="2"/>
    <x v="0"/>
    <x v="2"/>
    <x v="4"/>
    <n v="10"/>
    <s v="Finance"/>
    <s v="network"/>
    <s v="New hire missing access to onboarding portal."/>
    <s v="New hire missing access to onboarding portal. Reported by James from HR."/>
    <b v="0"/>
    <b v="0"/>
  </r>
  <r>
    <n v="283"/>
    <d v="2024-01-20T12:08:58"/>
    <d v="2024-01-21T02:06:37"/>
    <x v="256"/>
    <x v="2"/>
    <x v="0"/>
    <x v="1"/>
    <x v="0"/>
    <n v="4"/>
    <s v="Warehouse"/>
    <s v="business-apps"/>
    <s v="Service account password expired on integration job."/>
    <s v="Service account password expired on integration job. Reported by Cynthia from Finance."/>
    <b v="0"/>
    <b v="0"/>
  </r>
  <r>
    <n v="284"/>
    <d v="2024-01-20T16:33:22"/>
    <d v="2024-01-20T18:48:17"/>
    <x v="10"/>
    <x v="1"/>
    <x v="2"/>
    <x v="2"/>
    <x v="3"/>
    <n v="5"/>
    <s v="IT"/>
    <s v="security"/>
    <s v="Label printer feeds blank stock after maintenance."/>
    <s v="Label printer feeds blank stock after maintenance. Reported by Joseph from Warehouse."/>
    <b v="0"/>
    <b v="0"/>
  </r>
  <r>
    <n v="285"/>
    <d v="2024-01-20T18:23:14"/>
    <d v="2024-01-20T19:50:01"/>
    <x v="257"/>
    <x v="0"/>
    <x v="0"/>
    <x v="0"/>
    <x v="4"/>
    <n v="7"/>
    <s v="IT"/>
    <s v="network"/>
    <s v="Suspicious login alert triggered for finance user."/>
    <s v="Suspicious login alert triggered for finance user. Reported by Tracy from HR."/>
    <b v="0"/>
    <b v="0"/>
  </r>
  <r>
    <n v="286"/>
    <d v="2024-01-20T20:15:12"/>
    <d v="2024-01-21T12:11:01"/>
    <x v="258"/>
    <x v="2"/>
    <x v="1"/>
    <x v="0"/>
    <x v="0"/>
    <n v="10"/>
    <s v="Operations"/>
    <s v="business-apps"/>
    <s v="Warehouse RF gun drops Wi-Fi in aisle B."/>
    <s v="Warehouse RF gun drops Wi-Fi in aisle B. Reported by Rebecca from Sales."/>
    <b v="0"/>
    <b v="0"/>
  </r>
  <r>
    <n v="287"/>
    <d v="2024-01-20T20:16:56"/>
    <d v="2024-01-20T22:00:45"/>
    <x v="259"/>
    <x v="0"/>
    <x v="0"/>
    <x v="3"/>
    <x v="2"/>
    <n v="6"/>
    <s v="HR"/>
    <s v="saas"/>
    <s v="Email quarantine released but message still missing."/>
    <s v="Email quarantine released but message still missing. Reported by Meghan from Sales."/>
    <b v="0"/>
    <b v="0"/>
  </r>
  <r>
    <n v="288"/>
    <d v="2024-01-20T20:37:26"/>
    <d v="2024-01-21T08:47:37"/>
    <x v="260"/>
    <x v="2"/>
    <x v="0"/>
    <x v="0"/>
    <x v="0"/>
    <n v="9"/>
    <s v="IT"/>
    <s v="business-apps"/>
    <s v="Procurement team reports ERP attachments missing."/>
    <s v="Procurement team reports ERP attachments missing. Reported by Christopher from Operations."/>
    <b v="0"/>
    <b v="0"/>
  </r>
  <r>
    <n v="289"/>
    <d v="2024-01-20T21:39:24"/>
    <d v="2024-01-21T02:14:40"/>
    <x v="261"/>
    <x v="1"/>
    <x v="0"/>
    <x v="0"/>
    <x v="3"/>
    <n v="2"/>
    <s v="HR"/>
    <s v="security"/>
    <s v="Excel add-in blocked by security policy."/>
    <s v="Excel add-in blocked by security policy. Reported by Rodney from Finance."/>
    <b v="0"/>
    <b v="0"/>
  </r>
  <r>
    <n v="290"/>
    <d v="2024-01-20T22:01:50"/>
    <d v="2024-01-21T10:57:27"/>
    <x v="262"/>
    <x v="2"/>
    <x v="0"/>
    <x v="1"/>
    <x v="2"/>
    <n v="9"/>
    <s v="Operations"/>
    <s v="saas"/>
    <s v="BitLocker recovery key prompt appears at boot."/>
    <s v="BitLocker recovery key prompt appears at boot. Reported by Joshua from Finance."/>
    <b v="0"/>
    <b v="0"/>
  </r>
  <r>
    <n v="291"/>
    <d v="2024-01-21T04:43:29"/>
    <d v="2024-01-21T05:27:13"/>
    <x v="263"/>
    <x v="0"/>
    <x v="0"/>
    <x v="1"/>
    <x v="2"/>
    <n v="3"/>
    <s v="Warehouse"/>
    <s v="saas"/>
    <s v="Warehouse RF gun drops Wi-Fi in aisle B."/>
    <s v="Warehouse RF gun drops Wi-Fi in aisle B. Reported by Adam from Warehouse."/>
    <b v="0"/>
    <b v="0"/>
  </r>
  <r>
    <n v="292"/>
    <d v="2024-01-21T07:54:38"/>
    <d v="2024-01-21T18:12:00"/>
    <x v="264"/>
    <x v="2"/>
    <x v="0"/>
    <x v="3"/>
    <x v="5"/>
    <n v="8"/>
    <s v="Warehouse"/>
    <s v="endpoint"/>
    <s v="Citrix launch freezes on black screen."/>
    <s v="Citrix launch freezes on black screen. Reported by Kellie from Warehouse."/>
    <b v="0"/>
    <b v="0"/>
  </r>
  <r>
    <n v="293"/>
    <d v="2024-01-21T08:50:56"/>
    <d v="2024-01-21T16:41:58"/>
    <x v="265"/>
    <x v="1"/>
    <x v="0"/>
    <x v="2"/>
    <x v="2"/>
    <n v="6"/>
    <s v="IT"/>
    <s v="saas"/>
    <s v="CEO calendar delegate can no longer edit events."/>
    <s v="CEO calendar delegate can no longer edit events. Reported by Dana from HR."/>
    <b v="0"/>
    <b v="0"/>
  </r>
  <r>
    <n v="294"/>
    <d v="2024-01-21T09:32:34"/>
    <d v="2024-01-22T01:01:58"/>
    <x v="266"/>
    <x v="2"/>
    <x v="0"/>
    <x v="3"/>
    <x v="2"/>
    <n v="7"/>
    <s v="Operations"/>
    <s v="saas"/>
    <s v="ERP purchase order screen timing out for AP team."/>
    <s v="ERP purchase order screen timing out for AP team. Reported by Jose from Finance."/>
    <b v="1"/>
    <b v="0"/>
  </r>
  <r>
    <n v="295"/>
    <d v="2024-01-21T11:24:39"/>
    <d v="2024-01-21T12:45:07"/>
    <x v="267"/>
    <x v="1"/>
    <x v="0"/>
    <x v="0"/>
    <x v="5"/>
    <n v="1"/>
    <s v="HR"/>
    <s v="endpoint"/>
    <s v="Print queue stalled for shipping label batch."/>
    <s v="Print queue stalled for shipping label batch. Reported by Joyce from Warehouse."/>
    <b v="0"/>
    <b v="0"/>
  </r>
  <r>
    <n v="296"/>
    <d v="2024-01-21T14:35:24"/>
    <d v="2024-01-21T17:28:09"/>
    <x v="268"/>
    <x v="0"/>
    <x v="0"/>
    <x v="1"/>
    <x v="1"/>
    <n v="6"/>
    <s v="Finance"/>
    <s v="voice"/>
    <s v="Email search indexing incomplete after migration."/>
    <s v="Email search indexing incomplete after migration. Reported by Andrea from HR."/>
    <b v="0"/>
    <b v="0"/>
  </r>
  <r>
    <n v="297"/>
    <d v="2024-01-21T15:51:49"/>
    <d v="2024-01-21T20:40:54"/>
    <x v="269"/>
    <x v="1"/>
    <x v="0"/>
    <x v="0"/>
    <x v="3"/>
    <n v="1"/>
    <s v="Warehouse"/>
    <s v="security"/>
    <s v="Citrix launch freezes on black screen."/>
    <s v="Citrix launch freezes on black screen. Reported by Ronald from HR."/>
    <b v="0"/>
    <b v="0"/>
  </r>
  <r>
    <n v="298"/>
    <d v="2024-01-21T16:10:15"/>
    <d v="2024-01-21T18:29:53"/>
    <x v="270"/>
    <x v="0"/>
    <x v="0"/>
    <x v="3"/>
    <x v="4"/>
    <n v="6"/>
    <s v="IT"/>
    <s v="network"/>
    <s v="Email signatures disappeared for sales team."/>
    <s v="Email signatures disappeared for sales team. Reported by Alec from Sales."/>
    <b v="0"/>
    <b v="0"/>
  </r>
  <r>
    <n v="299"/>
    <d v="2024-01-21T16:33:23"/>
    <d v="2024-01-22T09:16:36"/>
    <x v="271"/>
    <x v="2"/>
    <x v="0"/>
    <x v="1"/>
    <x v="1"/>
    <n v="5"/>
    <s v="HR"/>
    <s v="voice"/>
    <s v="Warehouse RF gun drops Wi-Fi in aisle B."/>
    <s v="Warehouse RF gun drops Wi-Fi in aisle B. Reported by Charles from Finance."/>
    <b v="0"/>
    <b v="0"/>
  </r>
  <r>
    <n v="300"/>
    <d v="2024-01-21T19:16:28"/>
    <d v="2024-01-21T19:50:51"/>
    <x v="272"/>
    <x v="0"/>
    <x v="0"/>
    <x v="1"/>
    <x v="4"/>
    <n v="3"/>
    <s v="Finance"/>
    <s v="network"/>
    <s v="New contractor needs temporary access to WMS."/>
    <s v="New contractor needs temporary access to WMS. Reported by Nicole from Finance."/>
    <b v="0"/>
    <b v="0"/>
  </r>
  <r>
    <n v="301"/>
    <d v="2024-01-21T19:32:52"/>
    <d v="2024-01-22T00:27:01"/>
    <x v="273"/>
    <x v="1"/>
    <x v="0"/>
    <x v="2"/>
    <x v="2"/>
    <n v="5"/>
    <s v="IT"/>
    <s v="saas"/>
    <s v="Barcode labels printing with incorrect dimensions."/>
    <s v="Barcode labels printing with incorrect dimensions. Reported by Rebecca from Operations."/>
    <b v="0"/>
    <b v="0"/>
  </r>
  <r>
    <n v="302"/>
    <d v="2024-01-21T19:54:03"/>
    <d v="2024-01-22T09:09:11"/>
    <x v="274"/>
    <x v="2"/>
    <x v="0"/>
    <x v="0"/>
    <x v="5"/>
    <n v="3"/>
    <s v="HR"/>
    <s v="endpoint"/>
    <s v="Scanner cradle not charging overnight."/>
    <s v="Scanner cradle not charging overnight. Reported by Amy from Sales."/>
    <b v="0"/>
    <b v="0"/>
  </r>
  <r>
    <n v="303"/>
    <d v="2024-01-21T20:20:06"/>
    <d v="2024-01-21T21:48:10"/>
    <x v="275"/>
    <x v="1"/>
    <x v="0"/>
    <x v="2"/>
    <x v="0"/>
    <n v="1"/>
    <s v="Operations"/>
    <s v="business-apps"/>
    <s v="Suspicious login alert triggered for finance user."/>
    <s v="Suspicious login alert triggered for finance user. Reported by Mary from HR."/>
    <b v="1"/>
    <b v="0"/>
  </r>
  <r>
    <n v="304"/>
    <d v="2024-01-21T21:21:51"/>
    <d v="2024-01-22T02:56:21"/>
    <x v="10"/>
    <x v="1"/>
    <x v="3"/>
    <x v="0"/>
    <x v="2"/>
    <n v="1"/>
    <s v="Warehouse"/>
    <s v="saas"/>
    <s v="ERP role request approved but not applied."/>
    <s v="ERP role request approved but not applied. Reported by Brandi from Operations."/>
    <b v="0"/>
    <b v="0"/>
  </r>
  <r>
    <n v="305"/>
    <d v="2024-01-21T22:50:22"/>
    <d v="2024-01-22T05:36:34"/>
    <x v="276"/>
    <x v="2"/>
    <x v="0"/>
    <x v="1"/>
    <x v="4"/>
    <n v="4"/>
    <s v="IT"/>
    <s v="network"/>
    <s v="Slack notifications delayed for customer support queue."/>
    <s v="Slack notifications delayed for customer support queue. Reported by Earl from Finance."/>
    <b v="0"/>
    <b v="0"/>
  </r>
  <r>
    <n v="306"/>
    <d v="2024-01-21T23:48:09"/>
    <d v="2024-01-22T06:10:01"/>
    <x v="277"/>
    <x v="1"/>
    <x v="1"/>
    <x v="0"/>
    <x v="4"/>
    <n v="8"/>
    <s v="Sales"/>
    <s v="network"/>
    <s v="Teams channels inaccessible during tenant incident."/>
    <s v="Teams channels inaccessible during tenant incident. Reported by David from Sales."/>
    <b v="0"/>
    <b v="0"/>
  </r>
  <r>
    <n v="307"/>
    <d v="2024-01-22T00:38:33"/>
    <d v="2024-01-22T15:39:51"/>
    <x v="278"/>
    <x v="2"/>
    <x v="0"/>
    <x v="0"/>
    <x v="1"/>
    <n v="6"/>
    <s v="IT"/>
    <s v="voice"/>
    <s v="Intune enrollment stuck on compliance evaluation."/>
    <s v="Intune enrollment stuck on compliance evaluation. Reported by Kyle from Operations."/>
    <b v="0"/>
    <b v="0"/>
  </r>
  <r>
    <n v="308"/>
    <d v="2024-01-22T01:18:05"/>
    <d v="2024-01-22T04:00:02"/>
    <x v="279"/>
    <x v="1"/>
    <x v="0"/>
    <x v="0"/>
    <x v="7"/>
    <n v="2"/>
    <s v="Operations"/>
    <s v="peripherals"/>
    <s v="Docking station no longer drives dual monitors."/>
    <s v="Docking station no longer drives dual monitors. Reported by Rachel from Finance."/>
    <b v="0"/>
    <b v="0"/>
  </r>
  <r>
    <n v="309"/>
    <d v="2024-01-22T03:00:56"/>
    <d v="2024-01-22T06:09:23"/>
    <x v="10"/>
    <x v="1"/>
    <x v="3"/>
    <x v="1"/>
    <x v="5"/>
    <n v="5"/>
    <s v="HR"/>
    <s v="endpoint"/>
    <s v="MFA push not arriving on replacement phone."/>
    <s v="MFA push not arriving on replacement phone. Reported by Laura from Sales."/>
    <b v="0"/>
    <b v="0"/>
  </r>
  <r>
    <n v="310"/>
    <d v="2024-01-22T04:07:53"/>
    <d v="2024-01-22T05:27:27"/>
    <x v="280"/>
    <x v="1"/>
    <x v="0"/>
    <x v="2"/>
    <x v="5"/>
    <n v="6"/>
    <s v="HR"/>
    <s v="endpoint"/>
    <s v="Docking station no longer drives dual monitors."/>
    <s v="Docking station no longer drives dual monitors. Reported by Michelle from Warehouse."/>
    <b v="0"/>
    <b v="0"/>
  </r>
  <r>
    <n v="311"/>
    <d v="2024-01-22T08:56:47"/>
    <d v="2024-01-22T14:29:24"/>
    <x v="281"/>
    <x v="2"/>
    <x v="1"/>
    <x v="2"/>
    <x v="6"/>
    <n v="3"/>
    <s v="Warehouse"/>
    <s v="identity"/>
    <s v="Slack notifications delayed for customer support queue."/>
    <s v="Slack notifications delayed for customer support queue. Reported by Rachel from Finance."/>
    <b v="0"/>
    <b v="0"/>
  </r>
  <r>
    <n v="312"/>
    <d v="2024-01-22T10:04:04"/>
    <d v="2024-01-22T16:56:59"/>
    <x v="282"/>
    <x v="1"/>
    <x v="0"/>
    <x v="0"/>
    <x v="5"/>
    <n v="2"/>
    <s v="Operations"/>
    <s v="endpoint"/>
    <s v="Barcode labels printing with incorrect dimensions."/>
    <s v="Barcode labels printing with incorrect dimensions. Reported by Jason from Sales."/>
    <b v="0"/>
    <b v="0"/>
  </r>
  <r>
    <n v="313"/>
    <d v="2024-01-22T10:24:50"/>
    <d v="2024-01-22T18:49:36"/>
    <x v="283"/>
    <x v="2"/>
    <x v="0"/>
    <x v="0"/>
    <x v="7"/>
    <n v="3"/>
    <s v="Operations"/>
    <s v="peripherals"/>
    <s v="Conference room display shows no HDMI signal."/>
    <s v="Conference room display shows no HDMI signal. Reported by John from Sales."/>
    <b v="1"/>
    <b v="0"/>
  </r>
  <r>
    <n v="314"/>
    <d v="2024-01-22T13:42:46"/>
    <d v="2024-01-22T15:53:13"/>
    <x v="10"/>
    <x v="1"/>
    <x v="3"/>
    <x v="2"/>
    <x v="6"/>
    <n v="1"/>
    <s v="IT"/>
    <s v="identity"/>
    <s v="Laptop blue-screened during payroll export."/>
    <s v="Laptop blue-screened during payroll export. Reported by Curtis from Warehouse."/>
    <b v="0"/>
    <b v="0"/>
  </r>
  <r>
    <n v="315"/>
    <d v="2024-01-22T15:12:50"/>
    <d v="2024-01-22T21:25:34"/>
    <x v="284"/>
    <x v="1"/>
    <x v="1"/>
    <x v="0"/>
    <x v="5"/>
    <n v="3"/>
    <s v="Sales"/>
    <s v="endpoint"/>
    <s v="Cannot sign in to Okta after password reset."/>
    <s v="Cannot sign in to Okta after password reset. Reported by Kimberly from Sales."/>
    <b v="0"/>
    <b v="0"/>
  </r>
  <r>
    <n v="316"/>
    <d v="2024-01-22T17:18:47"/>
    <d v="2024-01-22T20:10:58"/>
    <x v="285"/>
    <x v="2"/>
    <x v="1"/>
    <x v="1"/>
    <x v="6"/>
    <n v="6"/>
    <s v="Warehouse"/>
    <s v="identity"/>
    <s v="Spam burst hit shared support inbox this morning."/>
    <s v="Spam burst hit shared support inbox this morning. Reported by Nicole from Finance."/>
    <b v="1"/>
    <b v="0"/>
  </r>
  <r>
    <n v="317"/>
    <d v="2024-01-22T18:49:07"/>
    <d v="2024-01-22T20:09:51"/>
    <x v="286"/>
    <x v="0"/>
    <x v="1"/>
    <x v="2"/>
    <x v="7"/>
    <n v="9"/>
    <s v="Warehouse"/>
    <s v="peripherals"/>
    <s v="Label printer feeds blank stock after maintenance."/>
    <s v="Label printer feeds blank stock after maintenance. Reported by Richard from Operations."/>
    <b v="0"/>
    <b v="0"/>
  </r>
  <r>
    <n v="318"/>
    <d v="2024-01-22T18:49:34"/>
    <d v="2024-01-22T21:01:29"/>
    <x v="287"/>
    <x v="1"/>
    <x v="0"/>
    <x v="3"/>
    <x v="3"/>
    <n v="9"/>
    <s v="Operations"/>
    <s v="security"/>
    <s v="SSO certificate warning shown on benefits portal."/>
    <s v="SSO certificate warning shown on benefits portal. Reported by Christine from HR."/>
    <b v="0"/>
    <b v="0"/>
  </r>
  <r>
    <n v="319"/>
    <d v="2024-01-23T01:06:18"/>
    <d v="2024-01-23T03:03:43"/>
    <x v="288"/>
    <x v="0"/>
    <x v="0"/>
    <x v="0"/>
    <x v="0"/>
    <n v="7"/>
    <s v="Operations"/>
    <s v="business-apps"/>
    <s v="Outlook keeps prompting for password on Mac."/>
    <s v="Outlook keeps prompting for password on Mac. Reported by Eric from HR."/>
    <b v="0"/>
    <b v="0"/>
  </r>
  <r>
    <n v="320"/>
    <d v="2024-01-23T03:53:14"/>
    <d v="2024-01-23T12:34:30"/>
    <x v="289"/>
    <x v="2"/>
    <x v="0"/>
    <x v="2"/>
    <x v="1"/>
    <n v="4"/>
    <s v="Sales"/>
    <s v="voice"/>
    <s v="Password reset loop continues after successful change."/>
    <s v="Password reset loop continues after successful change. Reported by Sarah from Operations."/>
    <b v="0"/>
    <b v="0"/>
  </r>
  <r>
    <n v="321"/>
    <d v="2024-01-23T04:41:19"/>
    <d v="2024-01-23T08:38:48"/>
    <x v="290"/>
    <x v="1"/>
    <x v="0"/>
    <x v="3"/>
    <x v="7"/>
    <n v="10"/>
    <s v="HR"/>
    <s v="peripherals"/>
    <s v="BitLocker recovery key prompt appears at boot."/>
    <s v="BitLocker recovery key prompt appears at boot. Reported by Michelle from Warehouse."/>
    <b v="0"/>
    <b v="0"/>
  </r>
  <r>
    <n v="322"/>
    <d v="2024-01-23T05:41:19"/>
    <d v="2024-01-23T07:26:37"/>
    <x v="291"/>
    <x v="1"/>
    <x v="0"/>
    <x v="3"/>
    <x v="3"/>
    <n v="10"/>
    <s v="IT"/>
    <s v="security"/>
    <s v="Conditional access policy locked out break-glass account."/>
    <s v="Conditional access policy locked out break-glass account. Reported by Theresa from Warehouse."/>
    <b v="0"/>
    <b v="0"/>
  </r>
  <r>
    <n v="323"/>
    <d v="2024-01-23T07:48:49"/>
    <d v="2024-01-23T10:29:07"/>
    <x v="292"/>
    <x v="0"/>
    <x v="0"/>
    <x v="2"/>
    <x v="4"/>
    <n v="4"/>
    <s v="HR"/>
    <s v="network"/>
    <s v="Mailbox forwarding rule recreated after removal."/>
    <s v="Mailbox forwarding rule recreated after removal. Reported by Lisa from Warehouse."/>
    <b v="0"/>
    <b v="0"/>
  </r>
  <r>
    <n v="324"/>
    <d v="2024-01-23T08:07:52"/>
    <d v="2024-01-23T20:41:03"/>
    <x v="10"/>
    <x v="2"/>
    <x v="2"/>
    <x v="0"/>
    <x v="3"/>
    <n v="1"/>
    <s v="Operations"/>
    <s v="security"/>
    <s v="Excel add-in blocked by security policy."/>
    <s v="Excel add-in blocked by security policy. Reported by Nicole from Finance."/>
    <b v="0"/>
    <b v="0"/>
  </r>
  <r>
    <n v="325"/>
    <d v="2024-01-23T09:49:56"/>
    <d v="2024-01-23T11:10:40"/>
    <x v="293"/>
    <x v="1"/>
    <x v="0"/>
    <x v="2"/>
    <x v="7"/>
    <n v="5"/>
    <s v="Sales"/>
    <s v="peripherals"/>
    <s v="Email quarantine released but message still missing."/>
    <s v="Email quarantine released but message still missing. Reported by Angel from Operations."/>
    <b v="1"/>
    <b v="0"/>
  </r>
  <r>
    <n v="326"/>
    <d v="2024-01-23T13:31:16"/>
    <d v="2024-01-23T20:05:55"/>
    <x v="294"/>
    <x v="1"/>
    <x v="0"/>
    <x v="2"/>
    <x v="6"/>
    <n v="5"/>
    <s v="HR"/>
    <s v="identity"/>
    <s v="Teams meeting room camera flickers after restart."/>
    <s v="Teams meeting room camera flickers after restart. Reported by Jill from Sales."/>
    <b v="0"/>
    <b v="0"/>
  </r>
  <r>
    <n v="327"/>
    <d v="2024-01-23T16:40:13"/>
    <d v="2024-01-23T19:37:35"/>
    <x v="295"/>
    <x v="0"/>
    <x v="0"/>
    <x v="0"/>
    <x v="6"/>
    <n v="7"/>
    <s v="Warehouse"/>
    <s v="identity"/>
    <s v="Outlook keeps prompting for password on Mac."/>
    <s v="Outlook keeps prompting for password on Mac. Reported by Martin from Sales."/>
    <b v="0"/>
    <b v="0"/>
  </r>
  <r>
    <n v="328"/>
    <d v="2024-01-23T17:42:02"/>
    <d v="2024-01-23T21:35:02"/>
    <x v="296"/>
    <x v="1"/>
    <x v="0"/>
    <x v="0"/>
    <x v="1"/>
    <n v="2"/>
    <s v="Warehouse"/>
    <s v="voice"/>
    <s v="Outlook keeps prompting for password on Mac."/>
    <s v="Outlook keeps prompting for password on Mac. Reported by Sarah from Finance."/>
    <b v="0"/>
    <b v="0"/>
  </r>
  <r>
    <n v="329"/>
    <d v="2024-01-23T21:43:43"/>
    <d v="2024-01-24T05:32:14"/>
    <x v="297"/>
    <x v="1"/>
    <x v="1"/>
    <x v="2"/>
    <x v="4"/>
    <n v="6"/>
    <s v="Finance"/>
    <s v="network"/>
    <s v="Print queue stalled for shipping label batch."/>
    <s v="Print queue stalled for shipping label batch. Reported by Leah from Sales."/>
    <b v="0"/>
    <b v="0"/>
  </r>
  <r>
    <n v="330"/>
    <d v="2024-01-24T01:23:53"/>
    <d v="2024-01-24T08:18:09"/>
    <x v="298"/>
    <x v="2"/>
    <x v="0"/>
    <x v="0"/>
    <x v="2"/>
    <n v="4"/>
    <s v="Warehouse"/>
    <s v="saas"/>
    <s v="Excel add-in blocked by security policy."/>
    <s v="Excel add-in blocked by security policy. Reported by Michelle from Sales."/>
    <b v="0"/>
    <b v="0"/>
  </r>
  <r>
    <n v="331"/>
    <d v="2024-01-24T03:07:46"/>
    <d v="2024-01-24T15:16:42"/>
    <x v="299"/>
    <x v="2"/>
    <x v="0"/>
    <x v="3"/>
    <x v="3"/>
    <n v="5"/>
    <s v="Sales"/>
    <s v="security"/>
    <s v="Customer portal SSO redirects to blank page."/>
    <s v="Customer portal SSO redirects to blank page. Reported by Lisa from Sales."/>
    <b v="0"/>
    <b v="0"/>
  </r>
  <r>
    <n v="332"/>
    <d v="2024-01-24T06:05:40"/>
    <d v="2024-01-24T06:22:07"/>
    <x v="300"/>
    <x v="3"/>
    <x v="0"/>
    <x v="0"/>
    <x v="3"/>
    <n v="1"/>
    <s v="Finance"/>
    <s v="security"/>
    <s v="Cannot sign in to Okta after password reset."/>
    <s v="Cannot sign in to Okta after password reset. Reported by Joseph from Sales."/>
    <b v="1"/>
    <b v="0"/>
  </r>
  <r>
    <n v="333"/>
    <d v="2024-01-24T06:08:36"/>
    <d v="2024-01-24T11:01:30"/>
    <x v="301"/>
    <x v="1"/>
    <x v="1"/>
    <x v="3"/>
    <x v="6"/>
    <n v="6"/>
    <s v="Operations"/>
    <s v="identity"/>
    <s v="Single sign-on to HRIS returns invalid relay state."/>
    <s v="Single sign-on to HRIS returns invalid relay state. Reported by Kristin from HR."/>
    <b v="0"/>
    <b v="0"/>
  </r>
  <r>
    <n v="334"/>
    <d v="2024-01-24T06:26:48"/>
    <d v="2024-01-24T12:53:10"/>
    <x v="302"/>
    <x v="1"/>
    <x v="1"/>
    <x v="2"/>
    <x v="0"/>
    <n v="1"/>
    <s v="Sales"/>
    <s v="business-apps"/>
    <s v="Service account password expired on integration job."/>
    <s v="Service account password expired on integration job. Reported by Daniel from HR."/>
    <b v="0"/>
    <b v="0"/>
  </r>
  <r>
    <n v="335"/>
    <d v="2024-01-24T06:32:47"/>
    <d v="2024-01-24T07:21:39"/>
    <x v="303"/>
    <x v="3"/>
    <x v="0"/>
    <x v="3"/>
    <x v="1"/>
    <n v="9"/>
    <s v="Finance"/>
    <s v="voice"/>
    <s v="Docking station no longer drives dual monitors."/>
    <s v="Docking station no longer drives dual monitors. Reported by Monica from HR."/>
    <b v="1"/>
    <b v="0"/>
  </r>
  <r>
    <n v="336"/>
    <d v="2024-01-24T07:29:44"/>
    <d v="2024-01-24T10:19:59"/>
    <x v="304"/>
    <x v="1"/>
    <x v="0"/>
    <x v="1"/>
    <x v="4"/>
    <n v="8"/>
    <s v="Warehouse"/>
    <s v="network"/>
    <s v="Teams meeting room camera flickers after restart."/>
    <s v="Teams meeting room camera flickers after restart. Reported by Michele from Warehouse."/>
    <b v="0"/>
    <b v="0"/>
  </r>
  <r>
    <n v="337"/>
    <d v="2024-01-24T08:13:27"/>
    <d v="2024-01-24T15:35:52"/>
    <x v="305"/>
    <x v="1"/>
    <x v="0"/>
    <x v="0"/>
    <x v="0"/>
    <n v="10"/>
    <s v="Finance"/>
    <s v="business-apps"/>
    <s v="Intune enrollment stuck on compliance evaluation."/>
    <s v="Intune enrollment stuck on compliance evaluation. Reported by Jeffrey from Finance."/>
    <b v="0"/>
    <b v="0"/>
  </r>
  <r>
    <n v="338"/>
    <d v="2024-01-24T11:15:10"/>
    <d v="2024-01-25T02:31:43"/>
    <x v="306"/>
    <x v="2"/>
    <x v="0"/>
    <x v="0"/>
    <x v="4"/>
    <n v="7"/>
    <s v="Sales"/>
    <s v="network"/>
    <s v="Spam burst hit shared support inbox this morning."/>
    <s v="Spam burst hit shared support inbox this morning. Reported by Lisa from Operations."/>
    <b v="0"/>
    <b v="0"/>
  </r>
  <r>
    <n v="339"/>
    <d v="2024-01-24T11:50:42"/>
    <d v="2024-01-24T16:25:11"/>
    <x v="307"/>
    <x v="1"/>
    <x v="0"/>
    <x v="0"/>
    <x v="7"/>
    <n v="10"/>
    <s v="HR"/>
    <s v="peripherals"/>
    <s v="Service account password expired on integration job."/>
    <s v="Service account password expired on integration job. Reported by Steven from Warehouse."/>
    <b v="0"/>
    <b v="0"/>
  </r>
  <r>
    <n v="340"/>
    <d v="2024-01-24T16:08:03"/>
    <d v="2024-01-24T21:38:10"/>
    <x v="308"/>
    <x v="1"/>
    <x v="1"/>
    <x v="1"/>
    <x v="6"/>
    <n v="3"/>
    <s v="IT"/>
    <s v="identity"/>
    <s v="Password reset loop continues after successful change."/>
    <s v="Password reset loop continues after successful change. Reported by Kevin from HR."/>
    <b v="0"/>
    <b v="0"/>
  </r>
  <r>
    <n v="341"/>
    <d v="2024-01-24T16:53:27"/>
    <d v="2024-01-25T05:08:52"/>
    <x v="309"/>
    <x v="2"/>
    <x v="0"/>
    <x v="0"/>
    <x v="0"/>
    <n v="1"/>
    <s v="IT"/>
    <s v="business-apps"/>
    <s v="Service account password expired on integration job."/>
    <s v="Service account password expired on integration job. Reported by Laura from Finance."/>
    <b v="0"/>
    <b v="0"/>
  </r>
  <r>
    <n v="342"/>
    <d v="2024-01-24T17:59:18"/>
    <d v="2024-01-25T00:14:34"/>
    <x v="310"/>
    <x v="1"/>
    <x v="0"/>
    <x v="1"/>
    <x v="2"/>
    <n v="10"/>
    <s v="IT"/>
    <s v="saas"/>
    <s v="Shared mailbox permissions disappeared overnight."/>
    <s v="Shared mailbox permissions disappeared overnight. Reported by Jeremy from Sales."/>
    <b v="0"/>
    <b v="0"/>
  </r>
  <r>
    <n v="343"/>
    <d v="2024-01-24T22:45:38"/>
    <d v="2024-01-25T00:25:03"/>
    <x v="311"/>
    <x v="0"/>
    <x v="0"/>
    <x v="1"/>
    <x v="7"/>
    <n v="7"/>
    <s v="Sales"/>
    <s v="peripherals"/>
    <s v="Mailbox forwarding rule recreated after removal."/>
    <s v="Mailbox forwarding rule recreated after removal. Reported by Andrew from Warehouse."/>
    <b v="1"/>
    <b v="0"/>
  </r>
  <r>
    <n v="344"/>
    <d v="2024-01-24T23:22:44"/>
    <d v="2024-01-25T06:49:29"/>
    <x v="312"/>
    <x v="1"/>
    <x v="0"/>
    <x v="2"/>
    <x v="2"/>
    <n v="7"/>
    <s v="IT"/>
    <s v="saas"/>
    <s v="VPN disconnects every 15 minutes on hotel Wi-Fi."/>
    <s v="VPN disconnects every 15 minutes on hotel Wi-Fi. Reported by James from Sales."/>
    <b v="0"/>
    <b v="0"/>
  </r>
  <r>
    <n v="345"/>
    <d v="2024-01-24T23:33:22"/>
    <d v="2024-01-25T17:53:21"/>
    <x v="313"/>
    <x v="2"/>
    <x v="0"/>
    <x v="2"/>
    <x v="1"/>
    <n v="3"/>
    <s v="Finance"/>
    <s v="voice"/>
    <s v="Teams channels inaccessible during tenant incident."/>
    <s v="Teams channels inaccessible during tenant incident. Reported by Mark from Warehouse."/>
    <b v="0"/>
    <b v="0"/>
  </r>
  <r>
    <n v="346"/>
    <d v="2024-01-25T02:47:56"/>
    <d v="2024-01-25T07:17:43"/>
    <x v="314"/>
    <x v="1"/>
    <x v="1"/>
    <x v="3"/>
    <x v="1"/>
    <n v="4"/>
    <s v="HR"/>
    <s v="voice"/>
    <s v="Citrix launch freezes on black screen."/>
    <s v="Citrix launch freezes on black screen. Reported by Michelle from Operations."/>
    <b v="0"/>
    <b v="0"/>
  </r>
  <r>
    <n v="347"/>
    <d v="2024-01-25T03:12:47"/>
    <d v="2024-01-25T11:11:48"/>
    <x v="315"/>
    <x v="1"/>
    <x v="0"/>
    <x v="1"/>
    <x v="4"/>
    <n v="7"/>
    <s v="Sales"/>
    <s v="network"/>
    <s v="Email signatures disappeared for sales team."/>
    <s v="Email signatures disappeared for sales team. Reported by Tammy from Finance."/>
    <b v="0"/>
    <b v="0"/>
  </r>
  <r>
    <n v="348"/>
    <d v="2024-01-25T06:28:20"/>
    <d v="2024-01-25T12:05:01"/>
    <x v="316"/>
    <x v="1"/>
    <x v="0"/>
    <x v="0"/>
    <x v="6"/>
    <n v="5"/>
    <s v="IT"/>
    <s v="identity"/>
    <s v="User cannot map shared drive from new laptop."/>
    <s v="User cannot map shared drive from new laptop. Reported by Joshua from Sales."/>
    <b v="0"/>
    <b v="0"/>
  </r>
  <r>
    <n v="349"/>
    <d v="2024-01-25T08:59:22"/>
    <d v="2024-01-25T13:21:53"/>
    <x v="317"/>
    <x v="1"/>
    <x v="0"/>
    <x v="0"/>
    <x v="2"/>
    <n v="1"/>
    <s v="HR"/>
    <s v="saas"/>
    <s v="Warehouse tablet battery draining within one shift."/>
    <s v="Warehouse tablet battery draining within one shift. Reported by Darlene from HR."/>
    <b v="0"/>
    <b v="0"/>
  </r>
  <r>
    <n v="350"/>
    <d v="2024-01-25T09:04:13"/>
    <d v="2024-01-25T10:30:33"/>
    <x v="318"/>
    <x v="0"/>
    <x v="0"/>
    <x v="2"/>
    <x v="0"/>
    <n v="3"/>
    <s v="HR"/>
    <s v="business-apps"/>
    <s v="Warehouse scanner will not sync picks to WMS."/>
    <s v="Warehouse scanner will not sync picks to WMS. Reported by Ricardo from Warehouse."/>
    <b v="0"/>
    <b v="0"/>
  </r>
  <r>
    <n v="351"/>
    <d v="2024-01-25T09:40:49"/>
    <d v="2024-01-25T11:13:34"/>
    <x v="319"/>
    <x v="1"/>
    <x v="0"/>
    <x v="0"/>
    <x v="3"/>
    <n v="4"/>
    <s v="IT"/>
    <s v="security"/>
    <s v="Cannot sign in to Okta after password reset."/>
    <s v="Cannot sign in to Okta after password reset. Reported by Tina from HR."/>
    <b v="0"/>
    <b v="0"/>
  </r>
  <r>
    <n v="352"/>
    <d v="2024-01-25T10:39:29"/>
    <d v="2024-01-25T13:47:16"/>
    <x v="320"/>
    <x v="2"/>
    <x v="0"/>
    <x v="2"/>
    <x v="0"/>
    <n v="9"/>
    <s v="HR"/>
    <s v="business-apps"/>
    <s v="Distribution center users cannot reach file server."/>
    <s v="Distribution center users cannot reach file server. Reported by Amanda from Operations."/>
    <b v="0"/>
    <b v="0"/>
  </r>
  <r>
    <n v="353"/>
    <d v="2024-01-25T11:59:27"/>
    <d v="2024-01-25T18:21:56"/>
    <x v="321"/>
    <x v="2"/>
    <x v="0"/>
    <x v="3"/>
    <x v="0"/>
    <n v="4"/>
    <s v="Operations"/>
    <s v="business-apps"/>
    <s v="Cannot sign in to Okta after password reset."/>
    <s v="Cannot sign in to Okta after password reset. Reported by Sheila from Warehouse."/>
    <b v="0"/>
    <b v="0"/>
  </r>
  <r>
    <n v="354"/>
    <d v="2024-01-25T16:06:23"/>
    <d v="2024-01-25T17:12:56"/>
    <x v="10"/>
    <x v="0"/>
    <x v="2"/>
    <x v="2"/>
    <x v="6"/>
    <n v="5"/>
    <s v="IT"/>
    <s v="identity"/>
    <s v="Mailbox forwarding rule recreated after removal."/>
    <s v="Mailbox forwarding rule recreated after removal. Reported by Darrell from Finance."/>
    <b v="0"/>
    <b v="0"/>
  </r>
  <r>
    <n v="355"/>
    <d v="2024-01-25T16:47:00"/>
    <d v="2024-01-25T20:21:45"/>
    <x v="322"/>
    <x v="1"/>
    <x v="0"/>
    <x v="0"/>
    <x v="3"/>
    <n v="6"/>
    <s v="Warehouse"/>
    <s v="security"/>
    <s v="Conditional access policy locked out break-glass account."/>
    <s v="Conditional access policy locked out break-glass account. Reported by Tara from Finance."/>
    <b v="1"/>
    <b v="0"/>
  </r>
  <r>
    <n v="356"/>
    <d v="2024-01-25T17:49:49"/>
    <d v="2024-01-25T18:06:48"/>
    <x v="323"/>
    <x v="3"/>
    <x v="1"/>
    <x v="0"/>
    <x v="4"/>
    <n v="2"/>
    <s v="Finance"/>
    <s v="network"/>
    <s v="New contractor needs temporary access to WMS."/>
    <s v="New contractor needs temporary access to WMS. Reported by Gregory from HR."/>
    <b v="1"/>
    <b v="0"/>
  </r>
  <r>
    <n v="357"/>
    <d v="2024-01-25T19:55:32"/>
    <d v="2024-01-26T02:14:22"/>
    <x v="324"/>
    <x v="1"/>
    <x v="0"/>
    <x v="3"/>
    <x v="2"/>
    <n v="6"/>
    <s v="Sales"/>
    <s v="saas"/>
    <s v="New contractor needs temporary access to WMS."/>
    <s v="New contractor needs temporary access to WMS. Reported by Sydney from HR."/>
    <b v="0"/>
    <b v="0"/>
  </r>
  <r>
    <n v="358"/>
    <d v="2024-01-25T21:33:01"/>
    <d v="2024-01-26T14:13:19"/>
    <x v="325"/>
    <x v="2"/>
    <x v="1"/>
    <x v="0"/>
    <x v="2"/>
    <n v="3"/>
    <s v="Operations"/>
    <s v="saas"/>
    <s v="Printer on dock 4 is stuck in offline state."/>
    <s v="Printer on dock 4 is stuck in offline state. Reported by Joseph from Warehouse."/>
    <b v="0"/>
    <b v="0"/>
  </r>
  <r>
    <n v="359"/>
    <d v="2024-01-26T00:49:41"/>
    <d v="2024-01-26T05:54:50"/>
    <x v="326"/>
    <x v="1"/>
    <x v="0"/>
    <x v="0"/>
    <x v="6"/>
    <n v="9"/>
    <s v="Finance"/>
    <s v="identity"/>
    <s v="Spam burst hit shared support inbox this morning."/>
    <s v="Spam burst hit shared support inbox this morning. Reported by Daniel from HR."/>
    <b v="0"/>
    <b v="0"/>
  </r>
  <r>
    <n v="360"/>
    <d v="2024-01-26T01:52:17"/>
    <d v="2024-01-26T04:58:45"/>
    <x v="10"/>
    <x v="2"/>
    <x v="3"/>
    <x v="2"/>
    <x v="2"/>
    <n v="3"/>
    <s v="IT"/>
    <s v="saas"/>
    <s v="Scanner firmware update broke keyboard wedge mode."/>
    <s v="Scanner firmware update broke keyboard wedge mode. Reported by Ryan from Operations."/>
    <b v="0"/>
    <b v="0"/>
  </r>
  <r>
    <n v="361"/>
    <d v="2024-01-26T01:54:14"/>
    <d v="2024-01-26T09:42:27"/>
    <x v="327"/>
    <x v="1"/>
    <x v="0"/>
    <x v="2"/>
    <x v="2"/>
    <n v="4"/>
    <s v="IT"/>
    <s v="saas"/>
    <s v="Citrix launch freezes on black screen."/>
    <s v="Citrix launch freezes on black screen. Reported by Jessica from Operations."/>
    <b v="0"/>
    <b v="0"/>
  </r>
  <r>
    <n v="362"/>
    <d v="2024-01-26T02:09:36"/>
    <d v="2024-01-26T20:18:18"/>
    <x v="328"/>
    <x v="2"/>
    <x v="0"/>
    <x v="2"/>
    <x v="5"/>
    <n v="5"/>
    <s v="Operations"/>
    <s v="endpoint"/>
    <s v="Teams meeting room camera flickers after restart."/>
    <s v="Teams meeting room camera flickers after restart. Reported by Lee from Sales."/>
    <b v="1"/>
    <b v="0"/>
  </r>
  <r>
    <n v="363"/>
    <d v="2024-01-26T02:21:55"/>
    <d v="2024-01-26T19:04:47"/>
    <x v="10"/>
    <x v="2"/>
    <x v="2"/>
    <x v="2"/>
    <x v="5"/>
    <n v="4"/>
    <s v="Sales"/>
    <s v="endpoint"/>
    <s v="Docking station no longer drives dual monitors."/>
    <s v="Docking station no longer drives dual monitors. Reported by Catherine from Sales."/>
    <b v="0"/>
    <b v="0"/>
  </r>
  <r>
    <n v="364"/>
    <d v="2024-01-26T07:51:23"/>
    <d v="2024-01-26T18:16:06"/>
    <x v="10"/>
    <x v="2"/>
    <x v="3"/>
    <x v="2"/>
    <x v="6"/>
    <n v="6"/>
    <s v="HR"/>
    <s v="identity"/>
    <s v="Barcode labels printing with incorrect dimensions."/>
    <s v="Barcode labels printing with incorrect dimensions. Reported by William from Warehouse."/>
    <b v="0"/>
    <b v="0"/>
  </r>
  <r>
    <n v="365"/>
    <d v="2024-01-26T08:22:38"/>
    <d v="2024-01-27T02:42:13"/>
    <x v="329"/>
    <x v="2"/>
    <x v="0"/>
    <x v="0"/>
    <x v="1"/>
    <n v="8"/>
    <s v="HR"/>
    <s v="voice"/>
    <s v="Sales laptop webcam missing from device manager."/>
    <s v="Sales laptop webcam missing from device manager. Reported by Paul from HR."/>
    <b v="0"/>
    <b v="0"/>
  </r>
  <r>
    <n v="366"/>
    <d v="2024-01-26T08:58:26"/>
    <d v="2024-01-26T12:40:28"/>
    <x v="330"/>
    <x v="2"/>
    <x v="0"/>
    <x v="2"/>
    <x v="4"/>
    <n v="10"/>
    <s v="Warehouse"/>
    <s v="network"/>
    <s v="Payroll batch job missed scheduled overnight window."/>
    <s v="Payroll batch job missed scheduled overnight window. Reported by Barbara from Warehouse."/>
    <b v="0"/>
    <b v="0"/>
  </r>
  <r>
    <n v="367"/>
    <d v="2024-01-26T10:08:11"/>
    <d v="2024-01-26T11:09:27"/>
    <x v="331"/>
    <x v="1"/>
    <x v="0"/>
    <x v="1"/>
    <x v="3"/>
    <n v="9"/>
    <s v="HR"/>
    <s v="security"/>
    <s v="Finance cannot export month-end AP aging report."/>
    <s v="Finance cannot export month-end AP aging report. Reported by Jonathan from Operations."/>
    <b v="0"/>
    <b v="0"/>
  </r>
  <r>
    <n v="368"/>
    <d v="2024-01-26T18:18:07"/>
    <d v="2024-01-26T22:45:30"/>
    <x v="332"/>
    <x v="1"/>
    <x v="0"/>
    <x v="2"/>
    <x v="3"/>
    <n v="3"/>
    <s v="Operations"/>
    <s v="security"/>
    <s v="Conditional access policy locked out break-glass account."/>
    <s v="Conditional access policy locked out break-glass account. Reported by Jeanne from Sales."/>
    <b v="0"/>
    <b v="0"/>
  </r>
  <r>
    <n v="369"/>
    <d v="2024-01-26T18:46:13"/>
    <d v="2024-01-27T02:38:47"/>
    <x v="333"/>
    <x v="1"/>
    <x v="0"/>
    <x v="3"/>
    <x v="2"/>
    <n v="7"/>
    <s v="Warehouse"/>
    <s v="saas"/>
    <s v="VPN client update failed with rollback error."/>
    <s v="VPN client update failed with rollback error. Reported by Aaron from Sales."/>
    <b v="0"/>
    <b v="0"/>
  </r>
  <r>
    <n v="370"/>
    <d v="2024-01-26T20:13:05"/>
    <d v="2024-01-26T23:31:58"/>
    <x v="334"/>
    <x v="2"/>
    <x v="0"/>
    <x v="0"/>
    <x v="3"/>
    <n v="4"/>
    <s v="Operations"/>
    <s v="security"/>
    <s v="Mailbox forwarding rule recreated after removal."/>
    <s v="Mailbox forwarding rule recreated after removal. Reported by Sara from Finance."/>
    <b v="0"/>
    <b v="0"/>
  </r>
  <r>
    <n v="371"/>
    <d v="2024-01-26T20:30:04"/>
    <d v="2024-01-26T22:55:45"/>
    <x v="335"/>
    <x v="0"/>
    <x v="0"/>
    <x v="2"/>
    <x v="5"/>
    <n v="9"/>
    <s v="Finance"/>
    <s v="endpoint"/>
    <s v="Barcode labels printing with incorrect dimensions."/>
    <s v="Barcode labels printing with incorrect dimensions. Reported by Amanda from Warehouse."/>
    <b v="0"/>
    <b v="0"/>
  </r>
  <r>
    <n v="372"/>
    <d v="2024-01-26T23:08:35"/>
    <d v="2024-01-27T03:39:22"/>
    <x v="336"/>
    <x v="2"/>
    <x v="0"/>
    <x v="2"/>
    <x v="5"/>
    <n v="1"/>
    <s v="IT"/>
    <s v="endpoint"/>
    <s v="Conference room display shows no HDMI signal."/>
    <s v="Conference room display shows no HDMI signal. Reported by Jennifer from HR."/>
    <b v="0"/>
    <b v="0"/>
  </r>
  <r>
    <n v="373"/>
    <d v="2024-01-27T01:25:17"/>
    <d v="2024-01-27T06:03:09"/>
    <x v="337"/>
    <x v="1"/>
    <x v="0"/>
    <x v="2"/>
    <x v="1"/>
    <n v="10"/>
    <s v="IT"/>
    <s v="voice"/>
    <s v="Scanner cradle not charging overnight."/>
    <s v="Scanner cradle not charging overnight. Reported by Judy from Finance."/>
    <b v="0"/>
    <b v="0"/>
  </r>
  <r>
    <n v="374"/>
    <d v="2024-01-27T01:56:31"/>
    <d v="2024-01-27T08:44:57"/>
    <x v="338"/>
    <x v="2"/>
    <x v="0"/>
    <x v="0"/>
    <x v="7"/>
    <n v="4"/>
    <s v="Sales"/>
    <s v="peripherals"/>
    <s v="Warehouse scanner will not sync picks to WMS."/>
    <s v="Warehouse scanner will not sync picks to WMS. Reported by Emily from Warehouse."/>
    <b v="0"/>
    <b v="0"/>
  </r>
  <r>
    <n v="375"/>
    <d v="2024-01-27T02:11:33"/>
    <d v="2024-01-27T04:33:46"/>
    <x v="339"/>
    <x v="1"/>
    <x v="0"/>
    <x v="2"/>
    <x v="7"/>
    <n v="8"/>
    <s v="Warehouse"/>
    <s v="peripherals"/>
    <s v="Mailbox forwarding rule recreated after removal."/>
    <s v="Mailbox forwarding rule recreated after removal. Reported by Michael from Finance."/>
    <b v="0"/>
    <b v="0"/>
  </r>
  <r>
    <n v="376"/>
    <d v="2024-01-27T04:53:33"/>
    <d v="2024-01-27T07:01:50"/>
    <x v="10"/>
    <x v="2"/>
    <x v="3"/>
    <x v="3"/>
    <x v="1"/>
    <n v="7"/>
    <s v="Operations"/>
    <s v="voice"/>
    <s v="Outlook keeps prompting for password on Mac."/>
    <s v="Outlook keeps prompting for password on Mac. Reported by Chad from HR."/>
    <b v="0"/>
    <b v="0"/>
  </r>
  <r>
    <n v="377"/>
    <d v="2024-01-27T05:17:07"/>
    <d v="2024-01-27T07:41:36"/>
    <x v="340"/>
    <x v="0"/>
    <x v="0"/>
    <x v="2"/>
    <x v="6"/>
    <n v="4"/>
    <s v="Warehouse"/>
    <s v="identity"/>
    <s v="Single sign-on to HRIS returns invalid relay state."/>
    <s v="Single sign-on to HRIS returns invalid relay state. Reported by Elizabeth from HR."/>
    <b v="0"/>
    <b v="0"/>
  </r>
  <r>
    <n v="378"/>
    <d v="2024-01-27T06:43:05"/>
    <d v="2024-01-27T09:36:25"/>
    <x v="341"/>
    <x v="1"/>
    <x v="1"/>
    <x v="0"/>
    <x v="5"/>
    <n v="10"/>
    <s v="HR"/>
    <s v="endpoint"/>
    <s v="Printer on dock 4 is stuck in offline state."/>
    <s v="Printer on dock 4 is stuck in offline state. Reported by Mark from HR."/>
    <b v="0"/>
    <b v="0"/>
  </r>
  <r>
    <n v="379"/>
    <d v="2024-01-27T07:52:03"/>
    <d v="2024-01-28T02:04:59"/>
    <x v="10"/>
    <x v="2"/>
    <x v="3"/>
    <x v="0"/>
    <x v="1"/>
    <n v="3"/>
    <s v="Sales"/>
    <s v="voice"/>
    <s v="Barcode labels printing with incorrect dimensions."/>
    <s v="Barcode labels printing with incorrect dimensions. Reported by Lee from Sales."/>
    <b v="0"/>
    <b v="0"/>
  </r>
  <r>
    <n v="380"/>
    <d v="2024-01-27T08:03:30"/>
    <d v="2024-01-27T09:46:55"/>
    <x v="342"/>
    <x v="1"/>
    <x v="0"/>
    <x v="2"/>
    <x v="5"/>
    <n v="8"/>
    <s v="HR"/>
    <s v="endpoint"/>
    <s v="Procurement team reports ERP attachments missing."/>
    <s v="Procurement team reports ERP attachments missing. Reported by Melanie from Operations."/>
    <b v="0"/>
    <b v="0"/>
  </r>
  <r>
    <n v="381"/>
    <d v="2024-01-27T08:42:14"/>
    <d v="2024-01-27T16:13:02"/>
    <x v="343"/>
    <x v="1"/>
    <x v="0"/>
    <x v="0"/>
    <x v="2"/>
    <n v="10"/>
    <s v="Sales"/>
    <s v="saas"/>
    <s v="New hire missing access to onboarding portal."/>
    <s v="New hire missing access to onboarding portal. Reported by Jennifer from Warehouse."/>
    <b v="0"/>
    <b v="0"/>
  </r>
  <r>
    <n v="382"/>
    <d v="2024-01-27T09:22:22"/>
    <d v="2024-01-27T17:18:13"/>
    <x v="344"/>
    <x v="2"/>
    <x v="0"/>
    <x v="1"/>
    <x v="6"/>
    <n v="2"/>
    <s v="HR"/>
    <s v="identity"/>
    <s v="Suspicious login alert triggered for finance user."/>
    <s v="Suspicious login alert triggered for finance user. Reported by Kevin from Finance."/>
    <b v="0"/>
    <b v="0"/>
  </r>
  <r>
    <n v="383"/>
    <d v="2024-01-27T09:23:18"/>
    <d v="2024-01-27T11:51:21"/>
    <x v="345"/>
    <x v="2"/>
    <x v="0"/>
    <x v="3"/>
    <x v="4"/>
    <n v="10"/>
    <s v="HR"/>
    <s v="network"/>
    <s v="VPN outage reported by remote finance staff."/>
    <s v="VPN outage reported by remote finance staff. Reported by Kyle from Sales."/>
    <b v="0"/>
    <b v="0"/>
  </r>
  <r>
    <n v="384"/>
    <d v="2024-01-27T13:00:00"/>
    <d v="2024-01-27T13:43:31"/>
    <x v="346"/>
    <x v="0"/>
    <x v="0"/>
    <x v="3"/>
    <x v="5"/>
    <n v="9"/>
    <s v="Finance"/>
    <s v="endpoint"/>
    <s v="ERP role request approved but not applied."/>
    <s v="ERP role request approved but not applied. Reported by Ricky from Finance."/>
    <b v="0"/>
    <b v="0"/>
  </r>
  <r>
    <n v="385"/>
    <d v="2024-01-27T14:47:54"/>
    <d v="2024-01-27T18:13:31"/>
    <x v="347"/>
    <x v="1"/>
    <x v="0"/>
    <x v="2"/>
    <x v="4"/>
    <n v="4"/>
    <s v="IT"/>
    <s v="network"/>
    <s v="Mailbox forwarding rule recreated after removal."/>
    <s v="Mailbox forwarding rule recreated after removal. Reported by Richard from Warehouse."/>
    <b v="1"/>
    <b v="0"/>
  </r>
  <r>
    <n v="386"/>
    <d v="2024-01-27T20:52:35"/>
    <d v="2024-01-27T23:03:14"/>
    <x v="10"/>
    <x v="1"/>
    <x v="3"/>
    <x v="2"/>
    <x v="3"/>
    <n v="9"/>
    <s v="HR"/>
    <s v="security"/>
    <s v="Finance cannot export month-end AP aging report."/>
    <s v="Finance cannot export month-end AP aging report. Reported by Kenneth from Warehouse."/>
    <b v="0"/>
    <b v="0"/>
  </r>
  <r>
    <n v="387"/>
    <d v="2024-01-27T22:47:06"/>
    <d v="2024-01-28T06:45:26"/>
    <x v="348"/>
    <x v="1"/>
    <x v="0"/>
    <x v="0"/>
    <x v="4"/>
    <n v="1"/>
    <s v="Warehouse"/>
    <s v="network"/>
    <s v="Excel add-in blocked by security policy."/>
    <s v="Excel add-in blocked by security policy. Reported by David from HR."/>
    <b v="0"/>
    <b v="0"/>
  </r>
  <r>
    <n v="388"/>
    <d v="2024-01-27T22:49:45"/>
    <d v="2024-01-28T01:51:13"/>
    <x v="349"/>
    <x v="1"/>
    <x v="0"/>
    <x v="0"/>
    <x v="3"/>
    <n v="2"/>
    <s v="IT"/>
    <s v="security"/>
    <s v="Cannot sign in to Okta after password reset."/>
    <s v="Cannot sign in to Okta after password reset. Reported by Robert from Sales."/>
    <b v="0"/>
    <b v="0"/>
  </r>
  <r>
    <n v="389"/>
    <d v="2024-01-27T23:36:41"/>
    <d v="2024-01-28T02:35:42"/>
    <x v="350"/>
    <x v="0"/>
    <x v="0"/>
    <x v="2"/>
    <x v="1"/>
    <n v="8"/>
    <s v="Warehouse"/>
    <s v="voice"/>
    <s v="Barcode labels printing with incorrect dimensions."/>
    <s v="Barcode labels printing with incorrect dimensions. Reported by Shelby from Operations."/>
    <b v="0"/>
    <b v="0"/>
  </r>
  <r>
    <n v="390"/>
    <d v="2024-01-28T01:25:34"/>
    <d v="2024-01-28T03:46:31"/>
    <x v="351"/>
    <x v="1"/>
    <x v="0"/>
    <x v="0"/>
    <x v="0"/>
    <n v="10"/>
    <s v="HR"/>
    <s v="business-apps"/>
    <s v="Print queue stalled for shipping label batch."/>
    <s v="Print queue stalled for shipping label batch. Reported by Erica from Operations."/>
    <b v="0"/>
    <b v="0"/>
  </r>
  <r>
    <n v="391"/>
    <d v="2024-01-28T02:31:29"/>
    <d v="2024-01-28T07:55:04"/>
    <x v="352"/>
    <x v="1"/>
    <x v="0"/>
    <x v="0"/>
    <x v="0"/>
    <n v="2"/>
    <s v="HR"/>
    <s v="business-apps"/>
    <s v="Single sign-on to HRIS returns invalid relay state."/>
    <s v="Single sign-on to HRIS returns invalid relay state. Reported by Raven from HR."/>
    <b v="0"/>
    <b v="0"/>
  </r>
  <r>
    <n v="392"/>
    <d v="2024-01-28T02:51:52"/>
    <d v="2024-01-28T15:20:18"/>
    <x v="353"/>
    <x v="2"/>
    <x v="0"/>
    <x v="1"/>
    <x v="4"/>
    <n v="8"/>
    <s v="Warehouse"/>
    <s v="network"/>
    <s v="Payroll batch job missed scheduled overnight window."/>
    <s v="Payroll batch job missed scheduled overnight window. Reported by Christina from Finance."/>
    <b v="0"/>
    <b v="0"/>
  </r>
  <r>
    <n v="393"/>
    <d v="2024-01-28T08:45:38"/>
    <d v="2024-01-28T14:24:04"/>
    <x v="354"/>
    <x v="1"/>
    <x v="0"/>
    <x v="1"/>
    <x v="7"/>
    <n v="2"/>
    <s v="Operations"/>
    <s v="peripherals"/>
    <s v="Email quarantine released but message still missing."/>
    <s v="Email quarantine released but message still missing. Reported by Kevin from Sales."/>
    <b v="0"/>
    <b v="0"/>
  </r>
  <r>
    <n v="394"/>
    <d v="2024-01-28T10:26:06"/>
    <d v="2024-01-28T14:57:24"/>
    <x v="355"/>
    <x v="1"/>
    <x v="0"/>
    <x v="3"/>
    <x v="3"/>
    <n v="8"/>
    <s v="Finance"/>
    <s v="security"/>
    <s v="New Zebra printer not visible to shipping station."/>
    <s v="New Zebra printer not visible to shipping station. Reported by Amy from HR."/>
    <b v="0"/>
    <b v="0"/>
  </r>
  <r>
    <n v="395"/>
    <d v="2024-01-28T11:22:40"/>
    <d v="2024-01-28T20:12:44"/>
    <x v="356"/>
    <x v="2"/>
    <x v="0"/>
    <x v="0"/>
    <x v="3"/>
    <n v="9"/>
    <s v="IT"/>
    <s v="security"/>
    <s v="SSO certificate warning shown on benefits portal."/>
    <s v="SSO certificate warning shown on benefits portal. Reported by Aaron from HR."/>
    <b v="0"/>
    <b v="0"/>
  </r>
  <r>
    <n v="396"/>
    <d v="2024-01-28T12:44:34"/>
    <d v="2024-01-28T22:29:08"/>
    <x v="357"/>
    <x v="2"/>
    <x v="0"/>
    <x v="3"/>
    <x v="5"/>
    <n v="5"/>
    <s v="IT"/>
    <s v="endpoint"/>
    <s v="Mailbox forwarding rule recreated after removal."/>
    <s v="Mailbox forwarding rule recreated after removal. Reported by Justin from HR."/>
    <b v="0"/>
    <b v="0"/>
  </r>
  <r>
    <n v="397"/>
    <d v="2024-01-28T13:02:30"/>
    <d v="2024-01-28T18:45:22"/>
    <x v="358"/>
    <x v="1"/>
    <x v="0"/>
    <x v="2"/>
    <x v="7"/>
    <n v="2"/>
    <s v="Finance"/>
    <s v="peripherals"/>
    <s v="BitLocker recovery key prompt appears at boot."/>
    <s v="BitLocker recovery key prompt appears at boot. Reported by Russell from HR."/>
    <b v="0"/>
    <b v="0"/>
  </r>
  <r>
    <n v="398"/>
    <d v="2024-01-28T13:04:00"/>
    <d v="2024-01-29T07:24:48"/>
    <x v="359"/>
    <x v="2"/>
    <x v="0"/>
    <x v="0"/>
    <x v="5"/>
    <n v="3"/>
    <s v="Warehouse"/>
    <s v="endpoint"/>
    <s v="Outlook keeps prompting for password on Mac."/>
    <s v="Outlook keeps prompting for password on Mac. Reported by Bethany from Operations."/>
    <b v="0"/>
    <b v="0"/>
  </r>
  <r>
    <n v="399"/>
    <d v="2024-01-28T15:00:25"/>
    <d v="2024-01-28T22:25:46"/>
    <x v="360"/>
    <x v="1"/>
    <x v="0"/>
    <x v="2"/>
    <x v="2"/>
    <n v="6"/>
    <s v="HR"/>
    <s v="saas"/>
    <s v="Barcode labels printing with incorrect dimensions."/>
    <s v="Barcode labels printing with incorrect dimensions. Reported by Diana from Sales."/>
    <b v="0"/>
    <b v="0"/>
  </r>
  <r>
    <n v="400"/>
    <d v="2024-01-28T15:17:07"/>
    <d v="2024-01-28T21:50:21"/>
    <x v="361"/>
    <x v="1"/>
    <x v="0"/>
    <x v="2"/>
    <x v="6"/>
    <n v="8"/>
    <s v="IT"/>
    <s v="identity"/>
    <s v="Service account password expired on integration job."/>
    <s v="Service account password expired on integration job. Reported by Steven from Sales."/>
    <b v="0"/>
    <b v="0"/>
  </r>
  <r>
    <n v="401"/>
    <d v="2024-01-28T15:38:39"/>
    <d v="2024-01-28T17:30:41"/>
    <x v="362"/>
    <x v="1"/>
    <x v="0"/>
    <x v="2"/>
    <x v="0"/>
    <n v="6"/>
    <s v="Warehouse"/>
    <s v="business-apps"/>
    <s v="ERP role request approved but not applied."/>
    <s v="ERP role request approved but not applied. Reported by Scott from Finance."/>
    <b v="0"/>
    <b v="0"/>
  </r>
  <r>
    <n v="402"/>
    <d v="2024-01-28T19:17:51"/>
    <d v="2024-01-28T20:29:06"/>
    <x v="363"/>
    <x v="0"/>
    <x v="0"/>
    <x v="1"/>
    <x v="3"/>
    <n v="5"/>
    <s v="Warehouse"/>
    <s v="security"/>
    <s v="Procurement team reports ERP attachments missing."/>
    <s v="Procurement team reports ERP attachments missing. Reported by Jason from Finance."/>
    <b v="0"/>
    <b v="0"/>
  </r>
  <r>
    <n v="403"/>
    <d v="2024-01-28T21:08:25"/>
    <d v="2024-01-29T08:11:36"/>
    <x v="364"/>
    <x v="2"/>
    <x v="1"/>
    <x v="0"/>
    <x v="3"/>
    <n v="7"/>
    <s v="Finance"/>
    <s v="security"/>
    <s v="Procurement team reports ERP attachments missing."/>
    <s v="Procurement team reports ERP attachments missing. Reported by Thomas from Warehouse."/>
    <b v="0"/>
    <b v="0"/>
  </r>
  <r>
    <n v="404"/>
    <d v="2024-01-28T23:37:59"/>
    <d v="2024-01-29T02:19:53"/>
    <x v="365"/>
    <x v="1"/>
    <x v="0"/>
    <x v="3"/>
    <x v="7"/>
    <n v="10"/>
    <s v="HR"/>
    <s v="peripherals"/>
    <s v="Warehouse scanner will not sync picks to WMS."/>
    <s v="Warehouse scanner will not sync picks to WMS. Reported by Rachel from Operations."/>
    <b v="0"/>
    <b v="0"/>
  </r>
  <r>
    <n v="405"/>
    <d v="2024-01-28T23:43:43"/>
    <d v="2024-01-29T06:41:14"/>
    <x v="366"/>
    <x v="2"/>
    <x v="0"/>
    <x v="0"/>
    <x v="0"/>
    <n v="8"/>
    <s v="Sales"/>
    <s v="business-apps"/>
    <s v="Scanner firmware update broke keyboard wedge mode."/>
    <s v="Scanner firmware update broke keyboard wedge mode. Reported by Laura from HR."/>
    <b v="0"/>
    <b v="0"/>
  </r>
  <r>
    <n v="406"/>
    <d v="2024-01-29T00:38:11"/>
    <d v="2024-01-29T04:35:39"/>
    <x v="367"/>
    <x v="1"/>
    <x v="0"/>
    <x v="1"/>
    <x v="0"/>
    <n v="2"/>
    <s v="Sales"/>
    <s v="business-apps"/>
    <s v="SSO certificate warning shown on benefits portal."/>
    <s v="SSO certificate warning shown on benefits portal. Reported by Gene from HR."/>
    <b v="0"/>
    <b v="0"/>
  </r>
  <r>
    <n v="407"/>
    <d v="2024-01-29T02:17:05"/>
    <d v="2024-01-29T04:15:08"/>
    <x v="368"/>
    <x v="1"/>
    <x v="0"/>
    <x v="3"/>
    <x v="6"/>
    <n v="2"/>
    <s v="Warehouse"/>
    <s v="identity"/>
    <s v="Teams meeting room camera flickers after restart."/>
    <s v="Teams meeting room camera flickers after restart. Reported by Christopher from Sales."/>
    <b v="0"/>
    <b v="0"/>
  </r>
  <r>
    <n v="408"/>
    <d v="2024-01-29T03:10:15"/>
    <d v="2024-01-29T09:36:49"/>
    <x v="369"/>
    <x v="1"/>
    <x v="1"/>
    <x v="2"/>
    <x v="7"/>
    <n v="4"/>
    <s v="IT"/>
    <s v="peripherals"/>
    <s v="Outlook keeps prompting for password on Mac."/>
    <s v="Outlook keeps prompting for password on Mac. Reported by Zachary from Operations."/>
    <b v="1"/>
    <b v="0"/>
  </r>
  <r>
    <n v="409"/>
    <d v="2024-01-29T05:38:01"/>
    <d v="2024-01-29T06:54:01"/>
    <x v="370"/>
    <x v="0"/>
    <x v="0"/>
    <x v="3"/>
    <x v="7"/>
    <n v="3"/>
    <s v="IT"/>
    <s v="peripherals"/>
    <s v="Shared mailbox permissions disappeared overnight."/>
    <s v="Shared mailbox permissions disappeared overnight. Reported by Cynthia from Sales."/>
    <b v="0"/>
    <b v="0"/>
  </r>
  <r>
    <n v="410"/>
    <d v="2024-01-29T10:02:35"/>
    <d v="2024-01-29T19:03:59"/>
    <x v="371"/>
    <x v="2"/>
    <x v="0"/>
    <x v="1"/>
    <x v="5"/>
    <n v="8"/>
    <s v="Finance"/>
    <s v="endpoint"/>
    <s v="Spam burst hit shared support inbox this morning."/>
    <s v="Spam burst hit shared support inbox this morning. Reported by Matthew from Warehouse."/>
    <b v="0"/>
    <b v="0"/>
  </r>
  <r>
    <n v="411"/>
    <d v="2024-01-29T11:00:22"/>
    <d v="2024-01-30T03:19:45"/>
    <x v="372"/>
    <x v="2"/>
    <x v="0"/>
    <x v="0"/>
    <x v="7"/>
    <n v="10"/>
    <s v="Finance"/>
    <s v="peripherals"/>
    <s v="SSO certificate warning shown on benefits portal."/>
    <s v="SSO certificate warning shown on benefits portal. Reported by Loretta from Finance."/>
    <b v="0"/>
    <b v="0"/>
  </r>
  <r>
    <n v="412"/>
    <d v="2024-01-29T11:54:14"/>
    <d v="2024-01-30T03:52:35"/>
    <x v="373"/>
    <x v="2"/>
    <x v="0"/>
    <x v="2"/>
    <x v="2"/>
    <n v="6"/>
    <s v="Finance"/>
    <s v="saas"/>
    <s v="Mailbox forwarding rule recreated after removal."/>
    <s v="Mailbox forwarding rule recreated after removal. Reported by Karen from Warehouse."/>
    <b v="0"/>
    <b v="0"/>
  </r>
  <r>
    <n v="413"/>
    <d v="2024-01-29T12:53:10"/>
    <d v="2024-01-30T07:49:42"/>
    <x v="374"/>
    <x v="2"/>
    <x v="0"/>
    <x v="2"/>
    <x v="0"/>
    <n v="9"/>
    <s v="Warehouse"/>
    <s v="business-apps"/>
    <s v="Voicemail transcription unavailable in mobile app."/>
    <s v="Voicemail transcription unavailable in mobile app. Reported by Emily from Finance."/>
    <b v="0"/>
    <b v="0"/>
  </r>
  <r>
    <n v="414"/>
    <d v="2024-01-29T16:08:10"/>
    <d v="2024-01-29T19:24:02"/>
    <x v="10"/>
    <x v="1"/>
    <x v="3"/>
    <x v="0"/>
    <x v="3"/>
    <n v="5"/>
    <s v="Finance"/>
    <s v="security"/>
    <s v="Mailbox forwarding rule recreated after removal."/>
    <s v="Mailbox forwarding rule recreated after removal. Reported by Jeffrey from Finance."/>
    <b v="0"/>
    <b v="0"/>
  </r>
  <r>
    <n v="415"/>
    <d v="2024-01-29T17:24:39"/>
    <d v="2024-01-29T19:36:36"/>
    <x v="375"/>
    <x v="0"/>
    <x v="0"/>
    <x v="2"/>
    <x v="4"/>
    <n v="7"/>
    <s v="Sales"/>
    <s v="network"/>
    <s v="Teams channels inaccessible during tenant incident."/>
    <s v="Teams channels inaccessible during tenant incident. Reported by James from Finance."/>
    <b v="0"/>
    <b v="0"/>
  </r>
  <r>
    <n v="416"/>
    <d v="2024-01-29T19:45:55"/>
    <d v="2024-01-30T03:05:48"/>
    <x v="376"/>
    <x v="1"/>
    <x v="0"/>
    <x v="0"/>
    <x v="1"/>
    <n v="8"/>
    <s v="Warehouse"/>
    <s v="voice"/>
    <s v="Scanner cradle not charging overnight."/>
    <s v="Scanner cradle not charging overnight. Reported by Andrew from Operations."/>
    <b v="0"/>
    <b v="0"/>
  </r>
  <r>
    <n v="417"/>
    <d v="2024-01-29T20:43:37"/>
    <d v="2024-01-30T04:54:38"/>
    <x v="377"/>
    <x v="2"/>
    <x v="0"/>
    <x v="0"/>
    <x v="2"/>
    <n v="3"/>
    <s v="Sales"/>
    <s v="saas"/>
    <s v="Scanner firmware update broke keyboard wedge mode."/>
    <s v="Scanner firmware update broke keyboard wedge mode. Reported by John from Sales."/>
    <b v="0"/>
    <b v="0"/>
  </r>
  <r>
    <n v="418"/>
    <d v="2024-01-29T22:02:49"/>
    <d v="2024-01-29T23:11:20"/>
    <x v="378"/>
    <x v="1"/>
    <x v="0"/>
    <x v="3"/>
    <x v="0"/>
    <n v="8"/>
    <s v="Operations"/>
    <s v="business-apps"/>
    <s v="Service account password expired on integration job."/>
    <s v="Service account password expired on integration job. Reported by Thomas from Operations."/>
    <b v="0"/>
    <b v="0"/>
  </r>
  <r>
    <n v="419"/>
    <d v="2024-01-29T23:16:25"/>
    <d v="2024-01-30T00:34:29"/>
    <x v="379"/>
    <x v="3"/>
    <x v="0"/>
    <x v="3"/>
    <x v="6"/>
    <n v="6"/>
    <s v="Sales"/>
    <s v="identity"/>
    <s v="Voicemail transcription unavailable in mobile app."/>
    <s v="Voicemail transcription unavailable in mobile app. Reported by Melissa from HR."/>
    <b v="1"/>
    <b v="0"/>
  </r>
  <r>
    <n v="420"/>
    <d v="2024-01-30T00:08:35"/>
    <d v="2024-01-30T19:27:46"/>
    <x v="10"/>
    <x v="2"/>
    <x v="2"/>
    <x v="1"/>
    <x v="6"/>
    <n v="6"/>
    <s v="Warehouse"/>
    <s v="identity"/>
    <s v="M365 outage causing login failures across offices."/>
    <s v="M365 outage causing login failures across offices. Reported by Charles from Operations."/>
    <b v="0"/>
    <b v="0"/>
  </r>
  <r>
    <n v="421"/>
    <d v="2024-01-30T00:18:57"/>
    <d v="2024-01-30T08:12:09"/>
    <x v="380"/>
    <x v="1"/>
    <x v="0"/>
    <x v="0"/>
    <x v="4"/>
    <n v="3"/>
    <s v="HR"/>
    <s v="network"/>
    <s v="VPN client update failed with rollback error."/>
    <s v="VPN client update failed with rollback error. Reported by Robert from Sales."/>
    <b v="0"/>
    <b v="0"/>
  </r>
  <r>
    <n v="422"/>
    <d v="2024-01-30T00:24:53"/>
    <d v="2024-01-30T06:14:34"/>
    <x v="10"/>
    <x v="1"/>
    <x v="3"/>
    <x v="2"/>
    <x v="1"/>
    <n v="4"/>
    <s v="Warehouse"/>
    <s v="voice"/>
    <s v="Slack notifications delayed for customer support queue."/>
    <s v="Slack notifications delayed for customer support queue. Reported by Crystal from Warehouse."/>
    <b v="0"/>
    <b v="0"/>
  </r>
  <r>
    <n v="423"/>
    <d v="2024-01-30T01:56:42"/>
    <d v="2024-01-30T03:23:10"/>
    <x v="381"/>
    <x v="3"/>
    <x v="0"/>
    <x v="0"/>
    <x v="4"/>
    <n v="9"/>
    <s v="Operations"/>
    <s v="network"/>
    <s v="Label printer feeds blank stock after maintenance."/>
    <s v="Label printer feeds blank stock after maintenance. Reported by James from Operations."/>
    <b v="1"/>
    <b v="0"/>
  </r>
  <r>
    <n v="424"/>
    <d v="2024-01-30T05:04:59"/>
    <d v="2024-01-30T10:35:58"/>
    <x v="382"/>
    <x v="1"/>
    <x v="0"/>
    <x v="0"/>
    <x v="2"/>
    <n v="7"/>
    <s v="Finance"/>
    <s v="saas"/>
    <s v="Email signatures disappeared for sales team."/>
    <s v="Email signatures disappeared for sales team. Reported by Heather from Operations."/>
    <b v="0"/>
    <b v="0"/>
  </r>
  <r>
    <n v="425"/>
    <d v="2024-01-30T05:53:33"/>
    <d v="2024-01-30T09:39:59"/>
    <x v="383"/>
    <x v="1"/>
    <x v="0"/>
    <x v="1"/>
    <x v="3"/>
    <n v="2"/>
    <s v="Warehouse"/>
    <s v="security"/>
    <s v="Single sign-on to HRIS returns invalid relay state."/>
    <s v="Single sign-on to HRIS returns invalid relay state. Reported by Troy from Operations."/>
    <b v="0"/>
    <b v="0"/>
  </r>
  <r>
    <n v="426"/>
    <d v="2024-01-30T08:20:39"/>
    <d v="2024-01-30T12:05:00"/>
    <x v="384"/>
    <x v="2"/>
    <x v="0"/>
    <x v="2"/>
    <x v="4"/>
    <n v="6"/>
    <s v="Warehouse"/>
    <s v="network"/>
    <s v="Procurement team reports ERP attachments missing."/>
    <s v="Procurement team reports ERP attachments missing. Reported by John from Operations."/>
    <b v="0"/>
    <b v="0"/>
  </r>
  <r>
    <n v="427"/>
    <d v="2024-01-30T08:52:30"/>
    <d v="2024-01-31T02:36:03"/>
    <x v="385"/>
    <x v="2"/>
    <x v="0"/>
    <x v="2"/>
    <x v="3"/>
    <n v="7"/>
    <s v="Finance"/>
    <s v="security"/>
    <s v="Teams channels inaccessible during tenant incident."/>
    <s v="Teams channels inaccessible during tenant incident. Reported by Diana from Sales."/>
    <b v="0"/>
    <b v="0"/>
  </r>
  <r>
    <n v="428"/>
    <d v="2024-01-30T12:15:42"/>
    <d v="2024-01-30T14:58:07"/>
    <x v="386"/>
    <x v="0"/>
    <x v="0"/>
    <x v="0"/>
    <x v="6"/>
    <n v="8"/>
    <s v="Finance"/>
    <s v="identity"/>
    <s v="Sales laptop webcam missing from device manager."/>
    <s v="Sales laptop webcam missing from device manager. Reported by Adam from HR."/>
    <b v="0"/>
    <b v="0"/>
  </r>
  <r>
    <n v="429"/>
    <d v="2024-01-30T18:18:53"/>
    <d v="2024-01-31T12:15:58"/>
    <x v="387"/>
    <x v="2"/>
    <x v="0"/>
    <x v="3"/>
    <x v="5"/>
    <n v="9"/>
    <s v="Warehouse"/>
    <s v="endpoint"/>
    <s v="MFA push not arriving on replacement phone."/>
    <s v="MFA push not arriving on replacement phone. Reported by Karen from Operations."/>
    <b v="0"/>
    <b v="0"/>
  </r>
  <r>
    <n v="430"/>
    <d v="2024-01-30T18:48:39"/>
    <d v="2024-01-30T21:26:59"/>
    <x v="388"/>
    <x v="2"/>
    <x v="0"/>
    <x v="0"/>
    <x v="6"/>
    <n v="7"/>
    <s v="Sales"/>
    <s v="identity"/>
    <s v="Cannot sign in to Okta after password reset."/>
    <s v="Cannot sign in to Okta after password reset. Reported by Kayla from Warehouse."/>
    <b v="0"/>
    <b v="0"/>
  </r>
  <r>
    <n v="431"/>
    <d v="2024-01-30T19:08:16"/>
    <d v="2024-01-31T09:48:48"/>
    <x v="10"/>
    <x v="2"/>
    <x v="3"/>
    <x v="2"/>
    <x v="6"/>
    <n v="1"/>
    <s v="Warehouse"/>
    <s v="identity"/>
    <s v="Slack notifications delayed for customer support queue."/>
    <s v="Slack notifications delayed for customer support queue. Reported by Daniel from Warehouse."/>
    <b v="0"/>
    <b v="0"/>
  </r>
  <r>
    <n v="432"/>
    <d v="2024-01-30T21:35:29"/>
    <d v="2024-01-31T01:52:08"/>
    <x v="389"/>
    <x v="2"/>
    <x v="1"/>
    <x v="0"/>
    <x v="0"/>
    <n v="5"/>
    <s v="Warehouse"/>
    <s v="business-apps"/>
    <s v="Spam burst hit shared support inbox this morning."/>
    <s v="Spam burst hit shared support inbox this morning. Reported by Ronald from Warehouse."/>
    <b v="0"/>
    <b v="0"/>
  </r>
  <r>
    <n v="433"/>
    <d v="2024-01-30T22:01:56"/>
    <d v="2024-01-31T02:42:19"/>
    <x v="390"/>
    <x v="2"/>
    <x v="0"/>
    <x v="0"/>
    <x v="6"/>
    <n v="3"/>
    <s v="Sales"/>
    <s v="identity"/>
    <s v="User cannot map shared drive from new laptop."/>
    <s v="User cannot map shared drive from new laptop. Reported by Gregory from Finance."/>
    <b v="0"/>
    <b v="0"/>
  </r>
  <r>
    <n v="434"/>
    <d v="2024-01-31T01:29:03"/>
    <d v="2024-01-31T04:40:02"/>
    <x v="391"/>
    <x v="1"/>
    <x v="0"/>
    <x v="2"/>
    <x v="0"/>
    <n v="1"/>
    <s v="Operations"/>
    <s v="business-apps"/>
    <s v="Spam burst hit shared support inbox this morning."/>
    <s v="Spam burst hit shared support inbox this morning. Reported by Susan from Operations."/>
    <b v="0"/>
    <b v="0"/>
  </r>
  <r>
    <n v="435"/>
    <d v="2024-01-31T01:40:42"/>
    <d v="2024-01-31T08:13:18"/>
    <x v="392"/>
    <x v="1"/>
    <x v="0"/>
    <x v="2"/>
    <x v="0"/>
    <n v="10"/>
    <s v="HR"/>
    <s v="business-apps"/>
    <s v="Warehouse RF gun drops Wi-Fi in aisle B."/>
    <s v="Warehouse RF gun drops Wi-Fi in aisle B. Reported by April from Warehouse."/>
    <b v="0"/>
    <b v="0"/>
  </r>
  <r>
    <n v="436"/>
    <d v="2024-01-31T05:50:07"/>
    <d v="2024-01-31T09:45:25"/>
    <x v="393"/>
    <x v="1"/>
    <x v="0"/>
    <x v="2"/>
    <x v="5"/>
    <n v="2"/>
    <s v="Finance"/>
    <s v="endpoint"/>
    <s v="Phone soft client cannot register after ISP change."/>
    <s v="Phone soft client cannot register after ISP change. Reported by Brent from Finance."/>
    <b v="0"/>
    <b v="0"/>
  </r>
  <r>
    <n v="437"/>
    <d v="2024-01-31T08:17:37"/>
    <d v="2024-01-31T09:38:33"/>
    <x v="394"/>
    <x v="1"/>
    <x v="0"/>
    <x v="0"/>
    <x v="6"/>
    <n v="3"/>
    <s v="Sales"/>
    <s v="identity"/>
    <s v="Suspicious login alert triggered for finance user."/>
    <s v="Suspicious login alert triggered for finance user. Reported by John from Sales."/>
    <b v="0"/>
    <b v="0"/>
  </r>
  <r>
    <n v="438"/>
    <d v="2024-01-31T08:34:18"/>
    <d v="2024-02-01T02:50:25"/>
    <x v="395"/>
    <x v="2"/>
    <x v="0"/>
    <x v="3"/>
    <x v="5"/>
    <n v="4"/>
    <s v="Operations"/>
    <s v="endpoint"/>
    <s v="VPN fails only for users in Phoenix office."/>
    <s v="VPN fails only for users in Phoenix office. Reported by Melinda from Finance."/>
    <b v="0"/>
    <b v="0"/>
  </r>
  <r>
    <n v="439"/>
    <d v="2024-01-31T08:35:47"/>
    <d v="2024-01-31T10:20:52"/>
    <x v="396"/>
    <x v="1"/>
    <x v="0"/>
    <x v="1"/>
    <x v="5"/>
    <n v="5"/>
    <s v="Warehouse"/>
    <s v="endpoint"/>
    <s v="Power BI refresh failing after service account rotation."/>
    <s v="Power BI refresh failing after service account rotation. Reported by Stephen from Sales."/>
    <b v="1"/>
    <b v="0"/>
  </r>
  <r>
    <n v="440"/>
    <d v="2024-01-31T08:37:02"/>
    <d v="2024-01-31T13:05:54"/>
    <x v="397"/>
    <x v="1"/>
    <x v="0"/>
    <x v="3"/>
    <x v="0"/>
    <n v="7"/>
    <s v="Sales"/>
    <s v="business-apps"/>
    <s v="Warehouse scanner will not sync picks to WMS."/>
    <s v="Warehouse scanner will not sync picks to WMS. Reported by Laurie from HR."/>
    <b v="0"/>
    <b v="0"/>
  </r>
  <r>
    <n v="441"/>
    <d v="2024-01-31T11:33:04"/>
    <d v="2024-01-31T15:12:14"/>
    <x v="398"/>
    <x v="2"/>
    <x v="0"/>
    <x v="0"/>
    <x v="1"/>
    <n v="4"/>
    <s v="Sales"/>
    <s v="voice"/>
    <s v="Mailbox forwarding rule recreated after removal."/>
    <s v="Mailbox forwarding rule recreated after removal. Reported by Elizabeth from Finance."/>
    <b v="0"/>
    <b v="0"/>
  </r>
  <r>
    <n v="442"/>
    <d v="2024-01-31T16:33:58"/>
    <d v="2024-01-31T21:00:20"/>
    <x v="399"/>
    <x v="2"/>
    <x v="0"/>
    <x v="3"/>
    <x v="2"/>
    <n v="8"/>
    <s v="HR"/>
    <s v="saas"/>
    <s v="Suspicious login alert triggered for finance user."/>
    <s v="Suspicious login alert triggered for finance user. Reported by Vanessa from Operations."/>
    <b v="0"/>
    <b v="0"/>
  </r>
  <r>
    <n v="443"/>
    <d v="2024-01-31T16:34:42"/>
    <d v="2024-01-31T17:36:53"/>
    <x v="400"/>
    <x v="1"/>
    <x v="0"/>
    <x v="1"/>
    <x v="7"/>
    <n v="2"/>
    <s v="Operations"/>
    <s v="peripherals"/>
    <s v="Suspicious login alert triggered for finance user."/>
    <s v="Suspicious login alert triggered for finance user. Reported by Caitlin from Operations."/>
    <b v="1"/>
    <b v="0"/>
  </r>
  <r>
    <n v="444"/>
    <d v="2024-01-31T18:11:59"/>
    <d v="2024-01-31T23:24:12"/>
    <x v="401"/>
    <x v="2"/>
    <x v="0"/>
    <x v="2"/>
    <x v="4"/>
    <n v="10"/>
    <s v="HR"/>
    <s v="network"/>
    <s v="Mailbox forwarding rule recreated after removal."/>
    <s v="Mailbox forwarding rule recreated after removal. Reported by Stephanie from HR."/>
    <b v="0"/>
    <b v="0"/>
  </r>
  <r>
    <n v="445"/>
    <d v="2024-01-31T20:39:51"/>
    <d v="2024-01-31T22:45:11"/>
    <x v="402"/>
    <x v="1"/>
    <x v="0"/>
    <x v="0"/>
    <x v="6"/>
    <n v="9"/>
    <s v="Finance"/>
    <s v="identity"/>
    <s v="VPN client update failed with rollback error."/>
    <s v="VPN client update failed with rollback error. Reported by Patricia from HR."/>
    <b v="0"/>
    <b v="0"/>
  </r>
  <r>
    <n v="446"/>
    <d v="2024-01-31T21:13:04"/>
    <d v="2024-01-31T23:21:46"/>
    <x v="403"/>
    <x v="1"/>
    <x v="0"/>
    <x v="0"/>
    <x v="5"/>
    <n v="6"/>
    <s v="Operations"/>
    <s v="endpoint"/>
    <s v="Laptop blue-screened during payroll export."/>
    <s v="Laptop blue-screened during payroll export. Reported by Cheyenne from Warehouse."/>
    <b v="0"/>
    <b v="0"/>
  </r>
  <r>
    <n v="447"/>
    <d v="2024-01-31T21:25:48"/>
    <d v="2024-01-31T23:18:53"/>
    <x v="404"/>
    <x v="1"/>
    <x v="0"/>
    <x v="1"/>
    <x v="2"/>
    <n v="1"/>
    <s v="Sales"/>
    <s v="saas"/>
    <s v="Cannot sign in to Okta after password reset."/>
    <s v="Cannot sign in to Okta after password reset. Reported by Jennifer from HR."/>
    <b v="0"/>
    <b v="0"/>
  </r>
  <r>
    <n v="448"/>
    <d v="2024-02-01T00:55:00"/>
    <d v="2024-02-01T19:46:20"/>
    <x v="405"/>
    <x v="2"/>
    <x v="0"/>
    <x v="2"/>
    <x v="3"/>
    <n v="8"/>
    <s v="Warehouse"/>
    <s v="security"/>
    <s v="Email quarantine released but message still missing."/>
    <s v="Email quarantine released but message still missing. Reported by William from Operations."/>
    <b v="0"/>
    <b v="0"/>
  </r>
  <r>
    <n v="449"/>
    <d v="2024-02-01T04:11:12"/>
    <d v="2024-02-01T05:53:36"/>
    <x v="10"/>
    <x v="1"/>
    <x v="2"/>
    <x v="2"/>
    <x v="5"/>
    <n v="8"/>
    <s v="Finance"/>
    <s v="endpoint"/>
    <s v="Password reset loop continues after successful change."/>
    <s v="Password reset loop continues after successful change. Reported by Maria from Finance."/>
    <b v="0"/>
    <b v="0"/>
  </r>
  <r>
    <n v="450"/>
    <d v="2024-02-01T04:33:22"/>
    <d v="2024-02-01T07:53:14"/>
    <x v="406"/>
    <x v="1"/>
    <x v="0"/>
    <x v="1"/>
    <x v="1"/>
    <n v="7"/>
    <s v="Sales"/>
    <s v="voice"/>
    <s v="Email search indexing incomplete after migration."/>
    <s v="Email search indexing incomplete after migration. Reported by Amy from HR."/>
    <b v="0"/>
    <b v="0"/>
  </r>
  <r>
    <n v="451"/>
    <d v="2024-02-01T04:35:59"/>
    <d v="2024-02-01T21:41:49"/>
    <x v="407"/>
    <x v="2"/>
    <x v="0"/>
    <x v="1"/>
    <x v="7"/>
    <n v="3"/>
    <s v="Finance"/>
    <s v="peripherals"/>
    <s v="Citrix launch freezes on black screen."/>
    <s v="Citrix launch freezes on black screen. Reported by Phyllis from Finance."/>
    <b v="0"/>
    <b v="0"/>
  </r>
  <r>
    <n v="452"/>
    <d v="2024-02-01T04:52:55"/>
    <d v="2024-02-01T18:58:09"/>
    <x v="408"/>
    <x v="2"/>
    <x v="0"/>
    <x v="2"/>
    <x v="4"/>
    <n v="5"/>
    <s v="HR"/>
    <s v="network"/>
    <s v="Printer on dock 4 is stuck in offline state."/>
    <s v="Printer on dock 4 is stuck in offline state. Reported by Julia from Warehouse."/>
    <b v="0"/>
    <b v="0"/>
  </r>
  <r>
    <n v="453"/>
    <d v="2024-02-01T10:43:46"/>
    <d v="2024-02-01T11:52:16"/>
    <x v="409"/>
    <x v="0"/>
    <x v="0"/>
    <x v="3"/>
    <x v="0"/>
    <n v="5"/>
    <s v="Warehouse"/>
    <s v="business-apps"/>
    <s v="Warehouse scanner will not sync picks to WMS."/>
    <s v="Warehouse scanner will not sync picks to WMS. Reported by Thomas from Operations."/>
    <b v="0"/>
    <b v="0"/>
  </r>
  <r>
    <n v="454"/>
    <d v="2024-02-01T10:59:17"/>
    <d v="2024-02-01T15:14:05"/>
    <x v="410"/>
    <x v="1"/>
    <x v="0"/>
    <x v="0"/>
    <x v="7"/>
    <n v="7"/>
    <s v="Operations"/>
    <s v="peripherals"/>
    <s v="Email quarantine released but message still missing."/>
    <s v="Email quarantine released but message still missing. Reported by Jonathon from HR."/>
    <b v="0"/>
    <b v="0"/>
  </r>
  <r>
    <n v="455"/>
    <d v="2024-02-01T13:42:59"/>
    <d v="2024-02-01T20:14:20"/>
    <x v="411"/>
    <x v="2"/>
    <x v="0"/>
    <x v="1"/>
    <x v="7"/>
    <n v="4"/>
    <s v="Finance"/>
    <s v="peripherals"/>
    <s v="Teams meeting room camera flickers after restart."/>
    <s v="Teams meeting room camera flickers after restart. Reported by John from HR."/>
    <b v="0"/>
    <b v="0"/>
  </r>
  <r>
    <n v="456"/>
    <d v="2024-02-01T16:56:40"/>
    <d v="2024-02-02T08:15:58"/>
    <x v="412"/>
    <x v="2"/>
    <x v="0"/>
    <x v="2"/>
    <x v="3"/>
    <n v="5"/>
    <s v="IT"/>
    <s v="security"/>
    <s v="Citrix launch freezes on black screen."/>
    <s v="Citrix launch freezes on black screen. Reported by Dana from HR."/>
    <b v="0"/>
    <b v="0"/>
  </r>
  <r>
    <n v="457"/>
    <d v="2024-02-01T17:51:44"/>
    <d v="2024-02-01T19:16:17"/>
    <x v="413"/>
    <x v="1"/>
    <x v="0"/>
    <x v="0"/>
    <x v="7"/>
    <n v="10"/>
    <s v="Sales"/>
    <s v="peripherals"/>
    <s v="Warehouse tablet battery draining within one shift."/>
    <s v="Warehouse tablet battery draining within one shift. Reported by Katie from HR."/>
    <b v="0"/>
    <b v="0"/>
  </r>
  <r>
    <n v="458"/>
    <d v="2024-02-01T19:14:32"/>
    <d v="2024-02-01T21:16:20"/>
    <x v="414"/>
    <x v="1"/>
    <x v="0"/>
    <x v="0"/>
    <x v="6"/>
    <n v="5"/>
    <s v="Operations"/>
    <s v="identity"/>
    <s v="Shared mailbox permissions disappeared overnight."/>
    <s v="Shared mailbox permissions disappeared overnight. Reported by Adrienne from Sales."/>
    <b v="0"/>
    <b v="0"/>
  </r>
  <r>
    <n v="459"/>
    <d v="2024-02-01T21:36:13"/>
    <d v="2024-02-02T01:56:15"/>
    <x v="415"/>
    <x v="1"/>
    <x v="0"/>
    <x v="1"/>
    <x v="2"/>
    <n v="6"/>
    <s v="Warehouse"/>
    <s v="saas"/>
    <s v="Outlook keeps prompting for password on Mac."/>
    <s v="Outlook keeps prompting for password on Mac. Reported by Courtney from Operations."/>
    <b v="0"/>
    <b v="0"/>
  </r>
  <r>
    <n v="460"/>
    <d v="2024-02-01T23:20:16"/>
    <d v="2024-02-02T02:14:42"/>
    <x v="416"/>
    <x v="2"/>
    <x v="0"/>
    <x v="2"/>
    <x v="1"/>
    <n v="10"/>
    <s v="Finance"/>
    <s v="voice"/>
    <s v="Intune enrollment stuck on compliance evaluation."/>
    <s v="Intune enrollment stuck on compliance evaluation. Reported by Joshua from HR."/>
    <b v="1"/>
    <b v="0"/>
  </r>
  <r>
    <n v="461"/>
    <d v="2024-02-02T00:37:16"/>
    <d v="2024-02-02T05:55:52"/>
    <x v="417"/>
    <x v="1"/>
    <x v="0"/>
    <x v="0"/>
    <x v="5"/>
    <n v="10"/>
    <s v="IT"/>
    <s v="endpoint"/>
    <s v="Teams calls dropping audio after two minutes."/>
    <s v="Teams calls dropping audio after two minutes. Reported by Chris from Finance."/>
    <b v="0"/>
    <b v="0"/>
  </r>
  <r>
    <n v="462"/>
    <d v="2024-02-02T03:24:39"/>
    <d v="2024-02-02T05:28:39"/>
    <x v="418"/>
    <x v="2"/>
    <x v="0"/>
    <x v="0"/>
    <x v="2"/>
    <n v="6"/>
    <s v="Operations"/>
    <s v="saas"/>
    <s v="Conditional access policy locked out break-glass account."/>
    <s v="Conditional access policy locked out break-glass account. Reported by Justin from Operations."/>
    <b v="0"/>
    <b v="0"/>
  </r>
  <r>
    <n v="463"/>
    <d v="2024-02-02T12:06:13"/>
    <d v="2024-02-02T13:13:45"/>
    <x v="10"/>
    <x v="0"/>
    <x v="3"/>
    <x v="1"/>
    <x v="0"/>
    <n v="3"/>
    <s v="Finance"/>
    <s v="business-apps"/>
    <s v="Teams calls dropping audio after two minutes."/>
    <s v="Teams calls dropping audio after two minutes. Reported by Joseph from Sales."/>
    <b v="1"/>
    <b v="0"/>
  </r>
  <r>
    <n v="464"/>
    <d v="2024-02-02T12:22:33"/>
    <d v="2024-02-03T08:17:59"/>
    <x v="419"/>
    <x v="2"/>
    <x v="0"/>
    <x v="0"/>
    <x v="0"/>
    <n v="2"/>
    <s v="Warehouse"/>
    <s v="business-apps"/>
    <s v="Teams meeting room camera flickers after restart."/>
    <s v="Teams meeting room camera flickers after restart. Reported by Luis from HR."/>
    <b v="0"/>
    <b v="0"/>
  </r>
  <r>
    <n v="465"/>
    <d v="2024-02-02T12:26:27"/>
    <d v="2024-02-02T15:25:39"/>
    <x v="420"/>
    <x v="0"/>
    <x v="1"/>
    <x v="0"/>
    <x v="3"/>
    <n v="9"/>
    <s v="HR"/>
    <s v="security"/>
    <s v="BitLocker recovery key prompt appears at boot."/>
    <s v="BitLocker recovery key prompt appears at boot. Reported by Amber from Sales."/>
    <b v="0"/>
    <b v="0"/>
  </r>
  <r>
    <n v="466"/>
    <d v="2024-02-02T13:42:13"/>
    <d v="2024-02-03T02:32:18"/>
    <x v="10"/>
    <x v="2"/>
    <x v="3"/>
    <x v="1"/>
    <x v="0"/>
    <n v="6"/>
    <s v="HR"/>
    <s v="business-apps"/>
    <s v="Warehouse scanner will not sync picks to WMS."/>
    <s v="Warehouse scanner will not sync picks to WMS. Reported by Devon from HR."/>
    <b v="0"/>
    <b v="0"/>
  </r>
  <r>
    <n v="467"/>
    <d v="2024-02-02T14:22:24"/>
    <d v="2024-02-02T15:24:45"/>
    <x v="421"/>
    <x v="0"/>
    <x v="0"/>
    <x v="0"/>
    <x v="6"/>
    <n v="6"/>
    <s v="Operations"/>
    <s v="identity"/>
    <s v="VPN client update failed with rollback error."/>
    <s v="VPN client update failed with rollback error. Reported by Jesse from Finance."/>
    <b v="0"/>
    <b v="0"/>
  </r>
  <r>
    <n v="468"/>
    <d v="2024-02-02T14:24:37"/>
    <d v="2024-02-02T17:18:23"/>
    <x v="422"/>
    <x v="0"/>
    <x v="0"/>
    <x v="0"/>
    <x v="5"/>
    <n v="10"/>
    <s v="HR"/>
    <s v="endpoint"/>
    <s v="New contractor needs temporary access to WMS."/>
    <s v="New contractor needs temporary access to WMS. Reported by Heather from Operations."/>
    <b v="0"/>
    <b v="0"/>
  </r>
  <r>
    <n v="469"/>
    <d v="2024-02-02T14:27:20"/>
    <d v="2024-02-02T21:27:57"/>
    <x v="10"/>
    <x v="1"/>
    <x v="2"/>
    <x v="2"/>
    <x v="7"/>
    <n v="4"/>
    <s v="HR"/>
    <s v="peripherals"/>
    <s v="New hire missing access to onboarding portal."/>
    <s v="New hire missing access to onboarding portal. Reported by Jasmine from Sales."/>
    <b v="0"/>
    <b v="0"/>
  </r>
  <r>
    <n v="470"/>
    <d v="2024-02-02T15:24:24"/>
    <d v="2024-02-02T23:10:05"/>
    <x v="423"/>
    <x v="1"/>
    <x v="0"/>
    <x v="2"/>
    <x v="3"/>
    <n v="2"/>
    <s v="Finance"/>
    <s v="security"/>
    <s v="Password reset loop continues after successful change."/>
    <s v="Password reset loop continues after successful change. Reported by Caleb from HR."/>
    <b v="0"/>
    <b v="0"/>
  </r>
  <r>
    <n v="471"/>
    <d v="2024-02-02T16:02:35"/>
    <d v="2024-02-02T18:49:58"/>
    <x v="424"/>
    <x v="1"/>
    <x v="0"/>
    <x v="2"/>
    <x v="7"/>
    <n v="7"/>
    <s v="HR"/>
    <s v="peripherals"/>
    <s v="Excel add-in blocked by security policy."/>
    <s v="Excel add-in blocked by security policy. Reported by Rick from Sales."/>
    <b v="0"/>
    <b v="0"/>
  </r>
  <r>
    <n v="472"/>
    <d v="2024-02-02T17:29:39"/>
    <d v="2024-02-03T00:29:58"/>
    <x v="10"/>
    <x v="1"/>
    <x v="2"/>
    <x v="0"/>
    <x v="7"/>
    <n v="10"/>
    <s v="Finance"/>
    <s v="peripherals"/>
    <s v="Teams calls dropping audio after two minutes."/>
    <s v="Teams calls dropping audio after two minutes. Reported by Amy from Sales."/>
    <b v="0"/>
    <b v="0"/>
  </r>
  <r>
    <n v="473"/>
    <d v="2024-02-03T01:59:25"/>
    <d v="2024-02-03T13:27:14"/>
    <x v="425"/>
    <x v="2"/>
    <x v="0"/>
    <x v="2"/>
    <x v="5"/>
    <n v="2"/>
    <s v="Sales"/>
    <s v="endpoint"/>
    <s v="Payroll batch job missed scheduled overnight window."/>
    <s v="Payroll batch job missed scheduled overnight window. Reported by Robert from Operations."/>
    <b v="0"/>
    <b v="0"/>
  </r>
  <r>
    <n v="474"/>
    <d v="2024-02-03T02:14:03"/>
    <d v="2024-02-03T07:30:49"/>
    <x v="426"/>
    <x v="1"/>
    <x v="0"/>
    <x v="0"/>
    <x v="6"/>
    <n v="10"/>
    <s v="HR"/>
    <s v="identity"/>
    <s v="M365 outage causing login failures across offices."/>
    <s v="M365 outage causing login failures across offices. Reported by Jamie from Sales."/>
    <b v="0"/>
    <b v="0"/>
  </r>
  <r>
    <n v="475"/>
    <d v="2024-02-03T02:51:17"/>
    <d v="2024-02-03T09:41:30"/>
    <x v="427"/>
    <x v="1"/>
    <x v="0"/>
    <x v="2"/>
    <x v="1"/>
    <n v="6"/>
    <s v="Warehouse"/>
    <s v="voice"/>
    <s v="Teams channels inaccessible during tenant incident."/>
    <s v="Teams channels inaccessible during tenant incident. Reported by Robert from Sales."/>
    <b v="0"/>
    <b v="0"/>
  </r>
  <r>
    <n v="476"/>
    <d v="2024-02-03T04:40:14"/>
    <d v="2024-02-03T08:38:57"/>
    <x v="10"/>
    <x v="1"/>
    <x v="2"/>
    <x v="0"/>
    <x v="0"/>
    <n v="6"/>
    <s v="IT"/>
    <s v="business-apps"/>
    <s v="New hire missing access to onboarding portal."/>
    <s v="New hire missing access to onboarding portal. Reported by Rebecca from Warehouse."/>
    <b v="0"/>
    <b v="0"/>
  </r>
  <r>
    <n v="477"/>
    <d v="2024-02-03T05:50:54"/>
    <d v="2024-02-03T20:44:12"/>
    <x v="428"/>
    <x v="2"/>
    <x v="0"/>
    <x v="0"/>
    <x v="7"/>
    <n v="10"/>
    <s v="Operations"/>
    <s v="peripherals"/>
    <s v="Single sign-on to HRIS returns invalid relay state."/>
    <s v="Single sign-on to HRIS returns invalid relay state. Reported by Brandy from Sales."/>
    <b v="0"/>
    <b v="0"/>
  </r>
  <r>
    <n v="478"/>
    <d v="2024-02-03T06:25:13"/>
    <d v="2024-02-03T08:20:10"/>
    <x v="10"/>
    <x v="0"/>
    <x v="2"/>
    <x v="2"/>
    <x v="1"/>
    <n v="4"/>
    <s v="Sales"/>
    <s v="voice"/>
    <s v="Email signatures disappeared for sales team."/>
    <s v="Email signatures disappeared for sales team. Reported by Heather from HR."/>
    <b v="0"/>
    <b v="0"/>
  </r>
  <r>
    <n v="479"/>
    <d v="2024-02-03T10:41:53"/>
    <d v="2024-02-03T18:41:25"/>
    <x v="429"/>
    <x v="1"/>
    <x v="0"/>
    <x v="0"/>
    <x v="5"/>
    <n v="8"/>
    <s v="Sales"/>
    <s v="endpoint"/>
    <s v="Power BI refresh failing after service account rotation."/>
    <s v="Power BI refresh failing after service account rotation. Reported by Melissa from Finance."/>
    <b v="0"/>
    <b v="0"/>
  </r>
  <r>
    <n v="480"/>
    <d v="2024-02-03T13:29:06"/>
    <d v="2024-02-03T14:02:13"/>
    <x v="430"/>
    <x v="0"/>
    <x v="0"/>
    <x v="3"/>
    <x v="3"/>
    <n v="1"/>
    <s v="Operations"/>
    <s v="security"/>
    <s v="User cannot map shared drive from new laptop."/>
    <s v="User cannot map shared drive from new laptop. Reported by Kathy from HR."/>
    <b v="0"/>
    <b v="0"/>
  </r>
  <r>
    <n v="481"/>
    <d v="2024-02-03T14:32:08"/>
    <d v="2024-02-03T17:11:47"/>
    <x v="431"/>
    <x v="1"/>
    <x v="0"/>
    <x v="3"/>
    <x v="4"/>
    <n v="7"/>
    <s v="Sales"/>
    <s v="network"/>
    <s v="Scanner firmware update broke keyboard wedge mode."/>
    <s v="Scanner firmware update broke keyboard wedge mode. Reported by Omar from Sales."/>
    <b v="0"/>
    <b v="0"/>
  </r>
  <r>
    <n v="482"/>
    <d v="2024-02-03T16:01:56"/>
    <d v="2024-02-03T21:43:23"/>
    <x v="432"/>
    <x v="1"/>
    <x v="0"/>
    <x v="0"/>
    <x v="7"/>
    <n v="1"/>
    <s v="Warehouse"/>
    <s v="peripherals"/>
    <s v="Intune enrollment stuck on compliance evaluation."/>
    <s v="Intune enrollment stuck on compliance evaluation. Reported by Adam from HR."/>
    <b v="0"/>
    <b v="0"/>
  </r>
  <r>
    <n v="483"/>
    <d v="2024-02-03T16:47:13"/>
    <d v="2024-02-03T17:50:53"/>
    <x v="433"/>
    <x v="0"/>
    <x v="0"/>
    <x v="1"/>
    <x v="2"/>
    <n v="1"/>
    <s v="HR"/>
    <s v="saas"/>
    <s v="ERP purchase order screen timing out for AP team."/>
    <s v="ERP purchase order screen timing out for AP team. Reported by Michael from Sales."/>
    <b v="0"/>
    <b v="0"/>
  </r>
  <r>
    <n v="484"/>
    <d v="2024-02-03T17:21:22"/>
    <d v="2024-02-03T18:04:33"/>
    <x v="434"/>
    <x v="0"/>
    <x v="0"/>
    <x v="2"/>
    <x v="5"/>
    <n v="4"/>
    <s v="Sales"/>
    <s v="endpoint"/>
    <s v="Phone soft client cannot register after ISP change."/>
    <s v="Phone soft client cannot register after ISP change. Reported by Karen from Warehouse."/>
    <b v="0"/>
    <b v="0"/>
  </r>
  <r>
    <n v="485"/>
    <d v="2024-02-03T19:16:48"/>
    <d v="2024-02-04T02:03:53"/>
    <x v="435"/>
    <x v="2"/>
    <x v="0"/>
    <x v="0"/>
    <x v="1"/>
    <n v="4"/>
    <s v="Finance"/>
    <s v="voice"/>
    <s v="Customer portal SSO redirects to blank page."/>
    <s v="Customer portal SSO redirects to blank page. Reported by Melissa from Warehouse."/>
    <b v="1"/>
    <b v="0"/>
  </r>
  <r>
    <n v="486"/>
    <d v="2024-02-03T20:22:02"/>
    <d v="2024-02-03T21:37:36"/>
    <x v="436"/>
    <x v="0"/>
    <x v="0"/>
    <x v="2"/>
    <x v="4"/>
    <n v="8"/>
    <s v="Operations"/>
    <s v="network"/>
    <s v="Conference room display shows no HDMI signal."/>
    <s v="Conference room display shows no HDMI signal. Reported by Stephanie from Warehouse."/>
    <b v="0"/>
    <b v="0"/>
  </r>
  <r>
    <n v="487"/>
    <d v="2024-02-03T20:56:07"/>
    <d v="2024-02-04T01:38:57"/>
    <x v="437"/>
    <x v="1"/>
    <x v="0"/>
    <x v="3"/>
    <x v="6"/>
    <n v="9"/>
    <s v="IT"/>
    <s v="identity"/>
    <s v="Single sign-on to HRIS returns invalid relay state."/>
    <s v="Single sign-on to HRIS returns invalid relay state. Reported by Robert from HR."/>
    <b v="0"/>
    <b v="0"/>
  </r>
  <r>
    <n v="488"/>
    <d v="2024-02-03T22:42:49"/>
    <d v="2024-02-04T04:47:56"/>
    <x v="438"/>
    <x v="1"/>
    <x v="0"/>
    <x v="0"/>
    <x v="5"/>
    <n v="10"/>
    <s v="HR"/>
    <s v="endpoint"/>
    <s v="Intune enrollment stuck on compliance evaluation."/>
    <s v="Intune enrollment stuck on compliance evaluation. Reported by Julie from Sales."/>
    <b v="0"/>
    <b v="0"/>
  </r>
  <r>
    <n v="489"/>
    <d v="2024-02-03T23:42:16"/>
    <d v="2024-02-04T06:18:31"/>
    <x v="439"/>
    <x v="2"/>
    <x v="1"/>
    <x v="2"/>
    <x v="1"/>
    <n v="7"/>
    <s v="Operations"/>
    <s v="voice"/>
    <s v="Intune enrollment stuck on compliance evaluation."/>
    <s v="Intune enrollment stuck on compliance evaluation. Reported by Amy from Operations."/>
    <b v="0"/>
    <b v="0"/>
  </r>
  <r>
    <n v="490"/>
    <d v="2024-02-04T00:49:24"/>
    <d v="2024-02-04T12:52:13"/>
    <x v="440"/>
    <x v="2"/>
    <x v="0"/>
    <x v="2"/>
    <x v="3"/>
    <n v="2"/>
    <s v="Finance"/>
    <s v="security"/>
    <s v="MFA push not arriving on replacement phone."/>
    <s v="MFA push not arriving on replacement phone. Reported by Carrie from Warehouse."/>
    <b v="0"/>
    <b v="0"/>
  </r>
  <r>
    <n v="491"/>
    <d v="2024-02-04T01:26:31"/>
    <d v="2024-02-04T03:59:58"/>
    <x v="441"/>
    <x v="0"/>
    <x v="1"/>
    <x v="0"/>
    <x v="7"/>
    <n v="7"/>
    <s v="IT"/>
    <s v="peripherals"/>
    <s v="Single sign-on to HRIS returns invalid relay state."/>
    <s v="Single sign-on to HRIS returns invalid relay state. Reported by Jeffrey from Finance."/>
    <b v="0"/>
    <b v="0"/>
  </r>
  <r>
    <n v="492"/>
    <d v="2024-02-04T01:31:16"/>
    <d v="2024-02-04T21:12:09"/>
    <x v="442"/>
    <x v="2"/>
    <x v="0"/>
    <x v="2"/>
    <x v="3"/>
    <n v="5"/>
    <s v="Operations"/>
    <s v="security"/>
    <s v="Procurement team reports ERP attachments missing."/>
    <s v="Procurement team reports ERP attachments missing. Reported by Jeffrey from Operations."/>
    <b v="0"/>
    <b v="0"/>
  </r>
  <r>
    <n v="493"/>
    <d v="2024-02-04T05:17:32"/>
    <d v="2024-02-04T10:53:03"/>
    <x v="10"/>
    <x v="1"/>
    <x v="3"/>
    <x v="3"/>
    <x v="7"/>
    <n v="6"/>
    <s v="HR"/>
    <s v="peripherals"/>
    <s v="Email signatures disappeared for sales team."/>
    <s v="Email signatures disappeared for sales team. Reported by Ryan from Finance."/>
    <b v="0"/>
    <b v="0"/>
  </r>
  <r>
    <n v="494"/>
    <d v="2024-02-04T06:05:54"/>
    <d v="2024-02-04T07:09:59"/>
    <x v="443"/>
    <x v="1"/>
    <x v="0"/>
    <x v="0"/>
    <x v="1"/>
    <n v="6"/>
    <s v="Finance"/>
    <s v="voice"/>
    <s v="Distribution center users cannot reach file server."/>
    <s v="Distribution center users cannot reach file server. Reported by Anthony from Finance."/>
    <b v="0"/>
    <b v="0"/>
  </r>
  <r>
    <n v="495"/>
    <d v="2024-02-04T06:19:15"/>
    <d v="2024-02-04T12:25:58"/>
    <x v="444"/>
    <x v="2"/>
    <x v="0"/>
    <x v="0"/>
    <x v="6"/>
    <n v="9"/>
    <s v="Finance"/>
    <s v="identity"/>
    <s v="Scanner firmware update broke keyboard wedge mode."/>
    <s v="Scanner firmware update broke keyboard wedge mode. Reported by Matthew from HR."/>
    <b v="0"/>
    <b v="0"/>
  </r>
  <r>
    <n v="496"/>
    <d v="2024-02-04T07:02:41"/>
    <d v="2024-02-04T19:48:22"/>
    <x v="445"/>
    <x v="2"/>
    <x v="0"/>
    <x v="0"/>
    <x v="6"/>
    <n v="4"/>
    <s v="HR"/>
    <s v="identity"/>
    <s v="Excel add-in blocked by security policy."/>
    <s v="Excel add-in blocked by security policy. Reported by Erin from Finance."/>
    <b v="0"/>
    <b v="0"/>
  </r>
  <r>
    <n v="497"/>
    <d v="2024-02-04T11:49:17"/>
    <d v="2024-02-04T13:15:42"/>
    <x v="446"/>
    <x v="1"/>
    <x v="0"/>
    <x v="1"/>
    <x v="7"/>
    <n v="10"/>
    <s v="Finance"/>
    <s v="peripherals"/>
    <s v="Print queue stalled for shipping label batch."/>
    <s v="Print queue stalled for shipping label batch. Reported by Richard from Finance."/>
    <b v="0"/>
    <b v="0"/>
  </r>
  <r>
    <n v="498"/>
    <d v="2024-02-04T13:47:29"/>
    <d v="2024-02-04T20:57:55"/>
    <x v="447"/>
    <x v="1"/>
    <x v="0"/>
    <x v="2"/>
    <x v="1"/>
    <n v="6"/>
    <s v="Finance"/>
    <s v="voice"/>
    <s v="Payroll batch job missed scheduled overnight window."/>
    <s v="Payroll batch job missed scheduled overnight window. Reported by Frederick from Finance."/>
    <b v="0"/>
    <b v="0"/>
  </r>
  <r>
    <n v="499"/>
    <d v="2024-02-04T15:51:10"/>
    <d v="2024-02-04T18:27:18"/>
    <x v="448"/>
    <x v="0"/>
    <x v="0"/>
    <x v="2"/>
    <x v="0"/>
    <n v="7"/>
    <s v="Finance"/>
    <s v="business-apps"/>
    <s v="Warehouse tablet battery draining within one shift."/>
    <s v="Warehouse tablet battery draining within one shift. Reported by Tanner from Finance."/>
    <b v="0"/>
    <b v="0"/>
  </r>
  <r>
    <n v="500"/>
    <d v="2024-02-04T17:03:33"/>
    <d v="2024-02-04T18:28:02"/>
    <x v="449"/>
    <x v="1"/>
    <x v="0"/>
    <x v="1"/>
    <x v="1"/>
    <n v="10"/>
    <s v="Operations"/>
    <s v="voice"/>
    <s v="Procurement team reports ERP attachments missing."/>
    <s v="Procurement team reports ERP attachments missing. Reported by David from Warehouse."/>
    <b v="0"/>
    <b v="0"/>
  </r>
  <r>
    <n v="501"/>
    <d v="2024-02-04T17:20:00"/>
    <d v="2024-02-04T23:59:48"/>
    <x v="10"/>
    <x v="2"/>
    <x v="2"/>
    <x v="3"/>
    <x v="2"/>
    <n v="9"/>
    <s v="Sales"/>
    <s v="saas"/>
    <s v="Barcode labels printing with incorrect dimensions."/>
    <s v="Barcode labels printing with incorrect dimensions. Reported by Cindy from Operations."/>
    <b v="0"/>
    <b v="0"/>
  </r>
  <r>
    <n v="502"/>
    <d v="2024-02-04T22:05:10"/>
    <d v="2024-02-05T02:46:56"/>
    <x v="10"/>
    <x v="1"/>
    <x v="3"/>
    <x v="0"/>
    <x v="7"/>
    <n v="5"/>
    <s v="Sales"/>
    <s v="peripherals"/>
    <s v="VPN fails only for users in Phoenix office."/>
    <s v="VPN fails only for users in Phoenix office. Reported by Anthony from Finance."/>
    <b v="0"/>
    <b v="0"/>
  </r>
  <r>
    <n v="503"/>
    <d v="2024-02-05T01:35:01"/>
    <d v="2024-02-05T16:43:10"/>
    <x v="450"/>
    <x v="2"/>
    <x v="0"/>
    <x v="1"/>
    <x v="0"/>
    <n v="3"/>
    <s v="Sales"/>
    <s v="business-apps"/>
    <s v="User cannot map shared drive from new laptop."/>
    <s v="User cannot map shared drive from new laptop. Reported by Phillip from Sales."/>
    <b v="0"/>
    <b v="0"/>
  </r>
  <r>
    <n v="504"/>
    <d v="2024-02-05T01:46:14"/>
    <d v="2024-02-05T08:39:48"/>
    <x v="451"/>
    <x v="1"/>
    <x v="0"/>
    <x v="2"/>
    <x v="1"/>
    <n v="2"/>
    <s v="IT"/>
    <s v="voice"/>
    <s v="Voicemail transcription unavailable in mobile app."/>
    <s v="Voicemail transcription unavailable in mobile app. Reported by Anne from Finance."/>
    <b v="0"/>
    <b v="0"/>
  </r>
  <r>
    <n v="505"/>
    <d v="2024-02-05T02:09:49"/>
    <d v="2024-02-05T16:55:40"/>
    <x v="452"/>
    <x v="2"/>
    <x v="0"/>
    <x v="0"/>
    <x v="7"/>
    <n v="4"/>
    <s v="HR"/>
    <s v="peripherals"/>
    <s v="Email quarantine released but message still missing."/>
    <s v="Email quarantine released but message still missing. Reported by Anthony from Operations."/>
    <b v="0"/>
    <b v="0"/>
  </r>
  <r>
    <n v="506"/>
    <d v="2024-02-05T02:23:37"/>
    <d v="2024-02-05T10:49:27"/>
    <x v="453"/>
    <x v="2"/>
    <x v="0"/>
    <x v="0"/>
    <x v="2"/>
    <n v="7"/>
    <s v="Warehouse"/>
    <s v="saas"/>
    <s v="Shared mailbox permissions disappeared overnight."/>
    <s v="Shared mailbox permissions disappeared overnight. Reported by Dawn from Warehouse."/>
    <b v="0"/>
    <b v="0"/>
  </r>
  <r>
    <n v="507"/>
    <d v="2024-02-05T07:57:12"/>
    <d v="2024-02-05T21:17:16"/>
    <x v="454"/>
    <x v="2"/>
    <x v="0"/>
    <x v="2"/>
    <x v="5"/>
    <n v="8"/>
    <s v="Finance"/>
    <s v="endpoint"/>
    <s v="VPN fails only for users in Phoenix office."/>
    <s v="VPN fails only for users in Phoenix office. Reported by Derek from Finance."/>
    <b v="0"/>
    <b v="0"/>
  </r>
  <r>
    <n v="508"/>
    <d v="2024-02-05T07:57:57"/>
    <d v="2024-02-05T10:48:31"/>
    <x v="10"/>
    <x v="0"/>
    <x v="3"/>
    <x v="3"/>
    <x v="4"/>
    <n v="1"/>
    <s v="HR"/>
    <s v="network"/>
    <s v="Procurement team reports ERP attachments missing."/>
    <s v="Procurement team reports ERP attachments missing. Reported by Steven from Operations."/>
    <b v="0"/>
    <b v="0"/>
  </r>
  <r>
    <n v="509"/>
    <d v="2024-02-05T09:06:49"/>
    <d v="2024-02-05T16:09:01"/>
    <x v="455"/>
    <x v="1"/>
    <x v="0"/>
    <x v="2"/>
    <x v="6"/>
    <n v="5"/>
    <s v="Finance"/>
    <s v="identity"/>
    <s v="ERP purchase order screen timing out for AP team."/>
    <s v="ERP purchase order screen timing out for AP team. Reported by Brent from Operations."/>
    <b v="0"/>
    <b v="0"/>
  </r>
  <r>
    <n v="510"/>
    <d v="2024-02-05T11:43:38"/>
    <d v="2024-02-05T14:34:21"/>
    <x v="456"/>
    <x v="0"/>
    <x v="0"/>
    <x v="2"/>
    <x v="5"/>
    <n v="10"/>
    <s v="Sales"/>
    <s v="endpoint"/>
    <s v="Print queue stalled for shipping label batch."/>
    <s v="Print queue stalled for shipping label batch. Reported by Nicholas from Operations."/>
    <b v="0"/>
    <b v="0"/>
  </r>
  <r>
    <n v="511"/>
    <d v="2024-02-05T14:47:27"/>
    <d v="2024-02-05T21:53:40"/>
    <x v="457"/>
    <x v="1"/>
    <x v="0"/>
    <x v="0"/>
    <x v="0"/>
    <n v="9"/>
    <s v="Sales"/>
    <s v="business-apps"/>
    <s v="Label printer feeds blank stock after maintenance."/>
    <s v="Label printer feeds blank stock after maintenance. Reported by Jason from Operations."/>
    <b v="0"/>
    <b v="0"/>
  </r>
  <r>
    <n v="512"/>
    <d v="2024-02-05T17:35:58"/>
    <d v="2024-02-06T03:25:16"/>
    <x v="458"/>
    <x v="2"/>
    <x v="0"/>
    <x v="0"/>
    <x v="6"/>
    <n v="10"/>
    <s v="IT"/>
    <s v="identity"/>
    <s v="Warehouse RF gun drops Wi-Fi in aisle B."/>
    <s v="Warehouse RF gun drops Wi-Fi in aisle B. Reported by Mark from Sales."/>
    <b v="0"/>
    <b v="0"/>
  </r>
  <r>
    <n v="513"/>
    <d v="2024-02-05T19:01:30"/>
    <d v="2024-02-05T22:42:58"/>
    <x v="459"/>
    <x v="1"/>
    <x v="0"/>
    <x v="3"/>
    <x v="2"/>
    <n v="10"/>
    <s v="HR"/>
    <s v="saas"/>
    <s v="Email search indexing incomplete after migration."/>
    <s v="Email search indexing incomplete after migration. Reported by Kathleen from Warehouse."/>
    <b v="0"/>
    <b v="0"/>
  </r>
  <r>
    <n v="514"/>
    <d v="2024-02-06T00:16:57"/>
    <d v="2024-02-06T02:36:33"/>
    <x v="460"/>
    <x v="0"/>
    <x v="0"/>
    <x v="1"/>
    <x v="6"/>
    <n v="1"/>
    <s v="HR"/>
    <s v="identity"/>
    <s v="Finance cannot export month-end AP aging report."/>
    <s v="Finance cannot export month-end AP aging report. Reported by Nicholas from Warehouse."/>
    <b v="0"/>
    <b v="0"/>
  </r>
  <r>
    <n v="515"/>
    <d v="2024-02-06T00:32:30"/>
    <d v="2024-02-06T06:55:09"/>
    <x v="461"/>
    <x v="1"/>
    <x v="0"/>
    <x v="2"/>
    <x v="5"/>
    <n v="7"/>
    <s v="Sales"/>
    <s v="endpoint"/>
    <s v="Barcode labels printing with incorrect dimensions."/>
    <s v="Barcode labels printing with incorrect dimensions. Reported by Karen from Warehouse."/>
    <b v="0"/>
    <b v="0"/>
  </r>
  <r>
    <n v="516"/>
    <d v="2024-02-06T00:43:03"/>
    <d v="2024-02-06T04:40:31"/>
    <x v="462"/>
    <x v="1"/>
    <x v="0"/>
    <x v="0"/>
    <x v="7"/>
    <n v="6"/>
    <s v="HR"/>
    <s v="peripherals"/>
    <s v="Outlook keeps prompting for password on Mac."/>
    <s v="Outlook keeps prompting for password on Mac. Reported by Marie from Sales."/>
    <b v="0"/>
    <b v="0"/>
  </r>
  <r>
    <n v="517"/>
    <d v="2024-02-06T01:43:18"/>
    <d v="2024-02-06T07:20:57"/>
    <x v="463"/>
    <x v="1"/>
    <x v="0"/>
    <x v="0"/>
    <x v="6"/>
    <n v="5"/>
    <s v="Warehouse"/>
    <s v="identity"/>
    <s v="Conference room display shows no HDMI signal."/>
    <s v="Conference room display shows no HDMI signal. Reported by Johnny from Finance."/>
    <b v="0"/>
    <b v="0"/>
  </r>
  <r>
    <n v="518"/>
    <d v="2024-02-06T02:28:35"/>
    <d v="2024-02-06T04:40:02"/>
    <x v="464"/>
    <x v="1"/>
    <x v="0"/>
    <x v="3"/>
    <x v="4"/>
    <n v="8"/>
    <s v="Warehouse"/>
    <s v="network"/>
    <s v="ERP purchase order screen timing out for AP team."/>
    <s v="ERP purchase order screen timing out for AP team. Reported by Christopher from Finance."/>
    <b v="0"/>
    <b v="0"/>
  </r>
  <r>
    <n v="519"/>
    <d v="2024-02-06T02:30:47"/>
    <d v="2024-02-06T05:39:51"/>
    <x v="465"/>
    <x v="2"/>
    <x v="0"/>
    <x v="0"/>
    <x v="5"/>
    <n v="10"/>
    <s v="HR"/>
    <s v="endpoint"/>
    <s v="Warehouse tablet battery draining within one shift."/>
    <s v="Warehouse tablet battery draining within one shift. Reported by Andrew from HR."/>
    <b v="0"/>
    <b v="0"/>
  </r>
  <r>
    <n v="520"/>
    <d v="2024-02-06T04:50:49"/>
    <d v="2024-02-06T06:40:11"/>
    <x v="466"/>
    <x v="0"/>
    <x v="0"/>
    <x v="0"/>
    <x v="6"/>
    <n v="5"/>
    <s v="Sales"/>
    <s v="identity"/>
    <s v="Single sign-on to HRIS returns invalid relay state."/>
    <s v="Single sign-on to HRIS returns invalid relay state. Reported by Amber from Operations."/>
    <b v="0"/>
    <b v="0"/>
  </r>
  <r>
    <n v="521"/>
    <d v="2024-02-06T06:01:32"/>
    <d v="2024-02-06T09:57:58"/>
    <x v="467"/>
    <x v="1"/>
    <x v="0"/>
    <x v="1"/>
    <x v="5"/>
    <n v="7"/>
    <s v="IT"/>
    <s v="endpoint"/>
    <s v="Finance cannot export month-end AP aging report."/>
    <s v="Finance cannot export month-end AP aging report. Reported by Zoe from Finance."/>
    <b v="0"/>
    <b v="0"/>
  </r>
  <r>
    <n v="522"/>
    <d v="2024-02-06T06:17:51"/>
    <d v="2024-02-06T12:22:56"/>
    <x v="468"/>
    <x v="1"/>
    <x v="0"/>
    <x v="3"/>
    <x v="6"/>
    <n v="5"/>
    <s v="HR"/>
    <s v="identity"/>
    <s v="MFA push not arriving on replacement phone."/>
    <s v="MFA push not arriving on replacement phone. Reported by Michael from Warehouse."/>
    <b v="0"/>
    <b v="0"/>
  </r>
  <r>
    <n v="523"/>
    <d v="2024-02-06T06:27:32"/>
    <d v="2024-02-06T08:49:33"/>
    <x v="469"/>
    <x v="0"/>
    <x v="0"/>
    <x v="0"/>
    <x v="6"/>
    <n v="7"/>
    <s v="Warehouse"/>
    <s v="identity"/>
    <s v="Service account password expired on integration job."/>
    <s v="Service account password expired on integration job. Reported by Debra from Operations."/>
    <b v="0"/>
    <b v="0"/>
  </r>
  <r>
    <n v="524"/>
    <d v="2024-02-06T06:27:57"/>
    <d v="2024-02-06T07:40:41"/>
    <x v="470"/>
    <x v="1"/>
    <x v="0"/>
    <x v="1"/>
    <x v="7"/>
    <n v="10"/>
    <s v="Finance"/>
    <s v="peripherals"/>
    <s v="New hire missing access to onboarding portal."/>
    <s v="New hire missing access to onboarding portal. Reported by Kimberly from Operations."/>
    <b v="0"/>
    <b v="0"/>
  </r>
  <r>
    <n v="525"/>
    <d v="2024-02-06T07:56:48"/>
    <d v="2024-02-06T10:32:26"/>
    <x v="471"/>
    <x v="2"/>
    <x v="0"/>
    <x v="0"/>
    <x v="6"/>
    <n v="9"/>
    <s v="HR"/>
    <s v="identity"/>
    <s v="ERP role request approved but not applied."/>
    <s v="ERP role request approved but not applied. Reported by Denise from Warehouse."/>
    <b v="1"/>
    <b v="0"/>
  </r>
  <r>
    <n v="526"/>
    <d v="2024-02-06T10:40:35"/>
    <d v="2024-02-06T16:35:11"/>
    <x v="472"/>
    <x v="1"/>
    <x v="0"/>
    <x v="2"/>
    <x v="1"/>
    <n v="3"/>
    <s v="Warehouse"/>
    <s v="voice"/>
    <s v="Teams meeting room camera flickers after restart."/>
    <s v="Teams meeting room camera flickers after restart. Reported by Karen from Operations."/>
    <b v="1"/>
    <b v="0"/>
  </r>
  <r>
    <n v="527"/>
    <d v="2024-02-06T11:06:08"/>
    <d v="2024-02-06T18:27:32"/>
    <x v="473"/>
    <x v="2"/>
    <x v="0"/>
    <x v="0"/>
    <x v="2"/>
    <n v="9"/>
    <s v="Finance"/>
    <s v="saas"/>
    <s v="Power BI refresh failing after service account rotation."/>
    <s v="Power BI refresh failing after service account rotation. Reported by Stefanie from HR."/>
    <b v="0"/>
    <b v="0"/>
  </r>
  <r>
    <n v="528"/>
    <d v="2024-02-06T11:14:09"/>
    <d v="2024-02-06T16:27:00"/>
    <x v="474"/>
    <x v="1"/>
    <x v="0"/>
    <x v="1"/>
    <x v="2"/>
    <n v="6"/>
    <s v="Operations"/>
    <s v="saas"/>
    <s v="New hire missing access to onboarding portal."/>
    <s v="New hire missing access to onboarding portal. Reported by James from HR."/>
    <b v="0"/>
    <b v="0"/>
  </r>
  <r>
    <n v="529"/>
    <d v="2024-02-06T12:02:19"/>
    <d v="2024-02-06T14:47:36"/>
    <x v="10"/>
    <x v="1"/>
    <x v="2"/>
    <x v="1"/>
    <x v="1"/>
    <n v="6"/>
    <s v="Warehouse"/>
    <s v="voice"/>
    <s v="Teams calls dropping audio after two minutes."/>
    <s v="Teams calls dropping audio after two minutes. Reported by Andrew from Operations."/>
    <b v="1"/>
    <b v="0"/>
  </r>
  <r>
    <n v="530"/>
    <d v="2024-02-06T18:14:13"/>
    <d v="2024-02-07T00:13:58"/>
    <x v="475"/>
    <x v="2"/>
    <x v="0"/>
    <x v="3"/>
    <x v="3"/>
    <n v="2"/>
    <s v="HR"/>
    <s v="security"/>
    <s v="Distribution center users cannot reach file server."/>
    <s v="Distribution center users cannot reach file server. Reported by Elijah from Finance."/>
    <b v="0"/>
    <b v="0"/>
  </r>
  <r>
    <n v="531"/>
    <d v="2024-02-06T18:16:15"/>
    <d v="2024-02-07T02:34:07"/>
    <x v="476"/>
    <x v="2"/>
    <x v="0"/>
    <x v="2"/>
    <x v="2"/>
    <n v="5"/>
    <s v="HR"/>
    <s v="saas"/>
    <s v="Excel add-in blocked by security policy."/>
    <s v="Excel add-in blocked by security policy. Reported by David from Warehouse."/>
    <b v="0"/>
    <b v="0"/>
  </r>
  <r>
    <n v="532"/>
    <d v="2024-02-06T22:02:55"/>
    <d v="2024-02-07T01:01:14"/>
    <x v="10"/>
    <x v="0"/>
    <x v="3"/>
    <x v="3"/>
    <x v="1"/>
    <n v="4"/>
    <s v="IT"/>
    <s v="voice"/>
    <s v="Citrix launch freezes on black screen."/>
    <s v="Citrix launch freezes on black screen. Reported by Elizabeth from HR."/>
    <b v="0"/>
    <b v="0"/>
  </r>
  <r>
    <n v="533"/>
    <d v="2024-02-06T22:03:04"/>
    <d v="2024-02-07T00:42:39"/>
    <x v="477"/>
    <x v="2"/>
    <x v="0"/>
    <x v="2"/>
    <x v="0"/>
    <n v="1"/>
    <s v="Operations"/>
    <s v="business-apps"/>
    <s v="Intune enrollment stuck on compliance evaluation."/>
    <s v="Intune enrollment stuck on compliance evaluation. Reported by Anne from Sales."/>
    <b v="0"/>
    <b v="0"/>
  </r>
  <r>
    <n v="534"/>
    <d v="2024-02-06T22:22:14"/>
    <d v="2024-02-07T07:47:40"/>
    <x v="478"/>
    <x v="2"/>
    <x v="0"/>
    <x v="2"/>
    <x v="7"/>
    <n v="9"/>
    <s v="Sales"/>
    <s v="peripherals"/>
    <s v="Spam burst hit shared support inbox this morning."/>
    <s v="Spam burst hit shared support inbox this morning. Reported by Jeffery from Sales."/>
    <b v="0"/>
    <b v="0"/>
  </r>
  <r>
    <n v="535"/>
    <d v="2024-02-06T22:23:23"/>
    <d v="2024-02-06T23:25:24"/>
    <x v="479"/>
    <x v="0"/>
    <x v="0"/>
    <x v="0"/>
    <x v="1"/>
    <n v="2"/>
    <s v="Sales"/>
    <s v="voice"/>
    <s v="Print queue stalled for shipping label batch."/>
    <s v="Print queue stalled for shipping label batch. Reported by Holly from Operations."/>
    <b v="0"/>
    <b v="0"/>
  </r>
  <r>
    <n v="536"/>
    <d v="2024-02-06T22:57:47"/>
    <d v="2024-02-07T00:50:56"/>
    <x v="480"/>
    <x v="1"/>
    <x v="0"/>
    <x v="1"/>
    <x v="7"/>
    <n v="8"/>
    <s v="Finance"/>
    <s v="peripherals"/>
    <s v="Scanner firmware update broke keyboard wedge mode."/>
    <s v="Scanner firmware update broke keyboard wedge mode. Reported by Katie from Finance."/>
    <b v="0"/>
    <b v="0"/>
  </r>
  <r>
    <n v="537"/>
    <d v="2024-02-06T23:03:07"/>
    <d v="2024-02-07T01:37:50"/>
    <x v="481"/>
    <x v="0"/>
    <x v="0"/>
    <x v="2"/>
    <x v="0"/>
    <n v="8"/>
    <s v="HR"/>
    <s v="business-apps"/>
    <s v="Finance cannot export month-end AP aging report."/>
    <s v="Finance cannot export month-end AP aging report. Reported by Gary from Operations."/>
    <b v="0"/>
    <b v="0"/>
  </r>
  <r>
    <n v="538"/>
    <d v="2024-02-06T23:57:19"/>
    <d v="2024-02-07T03:23:14"/>
    <x v="482"/>
    <x v="1"/>
    <x v="1"/>
    <x v="2"/>
    <x v="0"/>
    <n v="7"/>
    <s v="Warehouse"/>
    <s v="business-apps"/>
    <s v="Single sign-on to HRIS returns invalid relay state."/>
    <s v="Single sign-on to HRIS returns invalid relay state. Reported by Catherine from Operations."/>
    <b v="0"/>
    <b v="0"/>
  </r>
  <r>
    <n v="539"/>
    <d v="2024-02-07T02:22:05"/>
    <d v="2024-02-07T15:45:54"/>
    <x v="483"/>
    <x v="2"/>
    <x v="0"/>
    <x v="2"/>
    <x v="7"/>
    <n v="9"/>
    <s v="IT"/>
    <s v="peripherals"/>
    <s v="Print queue stalled for shipping label batch."/>
    <s v="Print queue stalled for shipping label batch. Reported by Julie from Sales."/>
    <b v="1"/>
    <b v="0"/>
  </r>
  <r>
    <n v="540"/>
    <d v="2024-02-07T04:19:57"/>
    <d v="2024-02-07T09:20:38"/>
    <x v="484"/>
    <x v="1"/>
    <x v="0"/>
    <x v="1"/>
    <x v="1"/>
    <n v="2"/>
    <s v="HR"/>
    <s v="voice"/>
    <s v="Voicemail transcription unavailable in mobile app."/>
    <s v="Voicemail transcription unavailable in mobile app. Reported by Danny from HR."/>
    <b v="0"/>
    <b v="0"/>
  </r>
  <r>
    <n v="541"/>
    <d v="2024-02-07T06:20:18"/>
    <d v="2024-02-07T11:58:13"/>
    <x v="485"/>
    <x v="1"/>
    <x v="0"/>
    <x v="2"/>
    <x v="7"/>
    <n v="1"/>
    <s v="Warehouse"/>
    <s v="peripherals"/>
    <s v="Service account password expired on integration job."/>
    <s v="Service account password expired on integration job. Reported by Lori from Finance."/>
    <b v="0"/>
    <b v="0"/>
  </r>
  <r>
    <n v="542"/>
    <d v="2024-02-07T08:23:33"/>
    <d v="2024-02-07T11:23:29"/>
    <x v="486"/>
    <x v="1"/>
    <x v="0"/>
    <x v="2"/>
    <x v="4"/>
    <n v="9"/>
    <s v="Warehouse"/>
    <s v="network"/>
    <s v="Voicemail transcription unavailable in mobile app."/>
    <s v="Voicemail transcription unavailable in mobile app. Reported by Tami from HR."/>
    <b v="0"/>
    <b v="0"/>
  </r>
  <r>
    <n v="543"/>
    <d v="2024-02-07T08:24:44"/>
    <d v="2024-02-07T14:27:51"/>
    <x v="487"/>
    <x v="1"/>
    <x v="1"/>
    <x v="2"/>
    <x v="6"/>
    <n v="2"/>
    <s v="Operations"/>
    <s v="identity"/>
    <s v="Customer portal SSO redirects to blank page."/>
    <s v="Customer portal SSO redirects to blank page. Reported by Daniel from Warehouse."/>
    <b v="0"/>
    <b v="0"/>
  </r>
  <r>
    <n v="544"/>
    <d v="2024-02-07T08:50:48"/>
    <d v="2024-02-07T12:18:50"/>
    <x v="488"/>
    <x v="2"/>
    <x v="1"/>
    <x v="2"/>
    <x v="3"/>
    <n v="3"/>
    <s v="IT"/>
    <s v="security"/>
    <s v="Service account password expired on integration job."/>
    <s v="Service account password expired on integration job. Reported by Anthony from Finance."/>
    <b v="0"/>
    <b v="0"/>
  </r>
  <r>
    <n v="545"/>
    <d v="2024-02-07T12:25:21"/>
    <d v="2024-02-07T18:31:49"/>
    <x v="489"/>
    <x v="1"/>
    <x v="1"/>
    <x v="2"/>
    <x v="2"/>
    <n v="7"/>
    <s v="IT"/>
    <s v="saas"/>
    <s v="Warehouse tablet battery draining within one shift."/>
    <s v="Warehouse tablet battery draining within one shift. Reported by Larry from Sales."/>
    <b v="0"/>
    <b v="0"/>
  </r>
  <r>
    <n v="546"/>
    <d v="2024-02-07T12:50:53"/>
    <d v="2024-02-07T14:35:16"/>
    <x v="490"/>
    <x v="1"/>
    <x v="0"/>
    <x v="1"/>
    <x v="2"/>
    <n v="6"/>
    <s v="HR"/>
    <s v="saas"/>
    <s v="VPN fails only for users in Phoenix office."/>
    <s v="VPN fails only for users in Phoenix office. Reported by Erica from HR."/>
    <b v="1"/>
    <b v="0"/>
  </r>
  <r>
    <n v="547"/>
    <d v="2024-02-07T14:11:21"/>
    <d v="2024-02-07T20:01:27"/>
    <x v="10"/>
    <x v="1"/>
    <x v="3"/>
    <x v="1"/>
    <x v="1"/>
    <n v="3"/>
    <s v="Operations"/>
    <s v="voice"/>
    <s v="VPN client update failed with rollback error."/>
    <s v="VPN client update failed with rollback error. Reported by Susan from Finance."/>
    <b v="1"/>
    <b v="0"/>
  </r>
  <r>
    <n v="548"/>
    <d v="2024-02-07T21:08:10"/>
    <d v="2024-02-08T12:41:11"/>
    <x v="491"/>
    <x v="2"/>
    <x v="0"/>
    <x v="2"/>
    <x v="5"/>
    <n v="3"/>
    <s v="Finance"/>
    <s v="endpoint"/>
    <s v="New Zebra printer not visible to shipping station."/>
    <s v="New Zebra printer not visible to shipping station. Reported by Randy from Operations."/>
    <b v="0"/>
    <b v="0"/>
  </r>
  <r>
    <n v="549"/>
    <d v="2024-02-07T23:06:09"/>
    <d v="2024-02-08T04:49:34"/>
    <x v="492"/>
    <x v="2"/>
    <x v="0"/>
    <x v="0"/>
    <x v="6"/>
    <n v="9"/>
    <s v="Finance"/>
    <s v="identity"/>
    <s v="CEO calendar delegate can no longer edit events."/>
    <s v="CEO calendar delegate can no longer edit events. Reported by Jennifer from Finance."/>
    <b v="0"/>
    <b v="0"/>
  </r>
  <r>
    <n v="550"/>
    <d v="2024-02-07T23:35:21"/>
    <d v="2024-02-08T04:27:11"/>
    <x v="493"/>
    <x v="2"/>
    <x v="0"/>
    <x v="2"/>
    <x v="7"/>
    <n v="6"/>
    <s v="Operations"/>
    <s v="peripherals"/>
    <s v="Excel add-in blocked by security policy."/>
    <s v="Excel add-in blocked by security policy. Reported by Charles from Operations."/>
    <b v="1"/>
    <b v="0"/>
  </r>
  <r>
    <n v="551"/>
    <d v="2024-02-08T01:39:26"/>
    <d v="2024-02-08T08:34:29"/>
    <x v="494"/>
    <x v="1"/>
    <x v="0"/>
    <x v="1"/>
    <x v="1"/>
    <n v="10"/>
    <s v="HR"/>
    <s v="voice"/>
    <s v="Teams channels inaccessible during tenant incident."/>
    <s v="Teams channels inaccessible during tenant incident. Reported by Hannah from Warehouse."/>
    <b v="0"/>
    <b v="0"/>
  </r>
  <r>
    <n v="552"/>
    <d v="2024-02-08T02:45:02"/>
    <d v="2024-02-08T09:54:31"/>
    <x v="495"/>
    <x v="1"/>
    <x v="0"/>
    <x v="3"/>
    <x v="3"/>
    <n v="6"/>
    <s v="Operations"/>
    <s v="security"/>
    <s v="Warehouse tablet battery draining within one shift."/>
    <s v="Warehouse tablet battery draining within one shift. Reported by Courtney from Warehouse."/>
    <b v="0"/>
    <b v="0"/>
  </r>
  <r>
    <n v="553"/>
    <d v="2024-02-08T02:54:07"/>
    <d v="2024-02-08T06:29:31"/>
    <x v="496"/>
    <x v="1"/>
    <x v="0"/>
    <x v="0"/>
    <x v="3"/>
    <n v="7"/>
    <s v="Finance"/>
    <s v="security"/>
    <s v="Service account password expired on integration job."/>
    <s v="Service account password expired on integration job. Reported by Curtis from HR."/>
    <b v="0"/>
    <b v="0"/>
  </r>
  <r>
    <n v="554"/>
    <d v="2024-02-08T08:42:13"/>
    <d v="2024-02-08T11:57:19"/>
    <x v="497"/>
    <x v="2"/>
    <x v="0"/>
    <x v="3"/>
    <x v="3"/>
    <n v="4"/>
    <s v="Sales"/>
    <s v="security"/>
    <s v="Mailbox forwarding rule recreated after removal."/>
    <s v="Mailbox forwarding rule recreated after removal. Reported by Kendra from HR."/>
    <b v="0"/>
    <b v="0"/>
  </r>
  <r>
    <n v="555"/>
    <d v="2024-02-08T10:07:30"/>
    <d v="2024-02-08T17:12:47"/>
    <x v="498"/>
    <x v="1"/>
    <x v="0"/>
    <x v="0"/>
    <x v="7"/>
    <n v="1"/>
    <s v="HR"/>
    <s v="peripherals"/>
    <s v="MFA push not arriving on replacement phone."/>
    <s v="MFA push not arriving on replacement phone. Reported by Melissa from Sales."/>
    <b v="0"/>
    <b v="0"/>
  </r>
  <r>
    <n v="556"/>
    <d v="2024-02-08T11:12:41"/>
    <d v="2024-02-08T16:39:13"/>
    <x v="499"/>
    <x v="2"/>
    <x v="0"/>
    <x v="3"/>
    <x v="1"/>
    <n v="6"/>
    <s v="Warehouse"/>
    <s v="voice"/>
    <s v="Warehouse scanner will not sync picks to WMS."/>
    <s v="Warehouse scanner will not sync picks to WMS. Reported by Caroline from HR."/>
    <b v="0"/>
    <b v="0"/>
  </r>
  <r>
    <n v="557"/>
    <d v="2024-02-08T11:37:49"/>
    <d v="2024-02-08T16:10:20"/>
    <x v="500"/>
    <x v="1"/>
    <x v="0"/>
    <x v="3"/>
    <x v="4"/>
    <n v="8"/>
    <s v="HR"/>
    <s v="network"/>
    <s v="Single sign-on to HRIS returns invalid relay state."/>
    <s v="Single sign-on to HRIS returns invalid relay state. Reported by David from Finance."/>
    <b v="0"/>
    <b v="0"/>
  </r>
  <r>
    <n v="558"/>
    <d v="2024-02-08T12:06:53"/>
    <d v="2024-02-08T13:06:43"/>
    <x v="501"/>
    <x v="0"/>
    <x v="0"/>
    <x v="2"/>
    <x v="7"/>
    <n v="5"/>
    <s v="Warehouse"/>
    <s v="peripherals"/>
    <s v="Label printer feeds blank stock after maintenance."/>
    <s v="Label printer feeds blank stock after maintenance. Reported by Tonya from Sales."/>
    <b v="0"/>
    <b v="0"/>
  </r>
  <r>
    <n v="559"/>
    <d v="2024-02-08T15:36:42"/>
    <d v="2024-02-09T07:58:05"/>
    <x v="502"/>
    <x v="2"/>
    <x v="0"/>
    <x v="3"/>
    <x v="6"/>
    <n v="9"/>
    <s v="IT"/>
    <s v="identity"/>
    <s v="New Zebra printer not visible to shipping station."/>
    <s v="New Zebra printer not visible to shipping station. Reported by Kimberly from Sales."/>
    <b v="0"/>
    <b v="0"/>
  </r>
  <r>
    <n v="560"/>
    <d v="2024-02-08T17:13:38"/>
    <d v="2024-02-08T19:46:27"/>
    <x v="503"/>
    <x v="0"/>
    <x v="0"/>
    <x v="2"/>
    <x v="0"/>
    <n v="7"/>
    <s v="HR"/>
    <s v="business-apps"/>
    <s v="MFA push not arriving on replacement phone."/>
    <s v="MFA push not arriving on replacement phone. Reported by Michael from HR."/>
    <b v="1"/>
    <b v="0"/>
  </r>
  <r>
    <n v="561"/>
    <d v="2024-02-08T17:33:34"/>
    <d v="2024-02-09T05:06:29"/>
    <x v="504"/>
    <x v="2"/>
    <x v="0"/>
    <x v="2"/>
    <x v="4"/>
    <n v="6"/>
    <s v="Sales"/>
    <s v="network"/>
    <s v="Phone soft client cannot register after ISP change."/>
    <s v="Phone soft client cannot register after ISP change. Reported by Ross from HR."/>
    <b v="0"/>
    <b v="0"/>
  </r>
  <r>
    <n v="562"/>
    <d v="2024-02-08T18:15:25"/>
    <d v="2024-02-09T00:07:17"/>
    <x v="505"/>
    <x v="1"/>
    <x v="0"/>
    <x v="1"/>
    <x v="1"/>
    <n v="6"/>
    <s v="HR"/>
    <s v="voice"/>
    <s v="Warehouse RF gun drops Wi-Fi in aisle B."/>
    <s v="Warehouse RF gun drops Wi-Fi in aisle B. Reported by Mitchell from Sales."/>
    <b v="0"/>
    <b v="0"/>
  </r>
  <r>
    <n v="563"/>
    <d v="2024-02-08T19:50:00"/>
    <d v="2024-02-09T09:55:47"/>
    <x v="506"/>
    <x v="2"/>
    <x v="0"/>
    <x v="0"/>
    <x v="2"/>
    <n v="3"/>
    <s v="HR"/>
    <s v="saas"/>
    <s v="Warehouse RF gun drops Wi-Fi in aisle B."/>
    <s v="Warehouse RF gun drops Wi-Fi in aisle B. Reported by William from Finance."/>
    <b v="0"/>
    <b v="0"/>
  </r>
  <r>
    <n v="564"/>
    <d v="2024-02-08T20:11:37"/>
    <d v="2024-02-09T01:43:28"/>
    <x v="507"/>
    <x v="1"/>
    <x v="0"/>
    <x v="0"/>
    <x v="5"/>
    <n v="9"/>
    <s v="HR"/>
    <s v="endpoint"/>
    <s v="Conditional access policy locked out break-glass account."/>
    <s v="Conditional access policy locked out break-glass account. Reported by Matthew from Sales."/>
    <b v="0"/>
    <b v="0"/>
  </r>
  <r>
    <n v="565"/>
    <d v="2024-02-09T00:15:59"/>
    <d v="2024-02-09T07:59:07"/>
    <x v="508"/>
    <x v="2"/>
    <x v="1"/>
    <x v="0"/>
    <x v="0"/>
    <n v="1"/>
    <s v="Finance"/>
    <s v="business-apps"/>
    <s v="BitLocker recovery key prompt appears at boot."/>
    <s v="BitLocker recovery key prompt appears at boot. Reported by Melissa from Warehouse."/>
    <b v="0"/>
    <b v="0"/>
  </r>
  <r>
    <n v="566"/>
    <d v="2024-02-09T00:59:48"/>
    <d v="2024-02-09T11:46:15"/>
    <x v="509"/>
    <x v="2"/>
    <x v="0"/>
    <x v="2"/>
    <x v="6"/>
    <n v="1"/>
    <s v="IT"/>
    <s v="identity"/>
    <s v="Docking station no longer drives dual monitors."/>
    <s v="Docking station no longer drives dual monitors. Reported by Lynn from Warehouse."/>
    <b v="0"/>
    <b v="0"/>
  </r>
  <r>
    <n v="567"/>
    <d v="2024-02-09T01:04:36"/>
    <d v="2024-02-09T07:17:51"/>
    <x v="10"/>
    <x v="1"/>
    <x v="2"/>
    <x v="1"/>
    <x v="5"/>
    <n v="8"/>
    <s v="HR"/>
    <s v="endpoint"/>
    <s v="Finance cannot export month-end AP aging report."/>
    <s v="Finance cannot export month-end AP aging report. Reported by Daniel from Warehouse."/>
    <b v="0"/>
    <b v="0"/>
  </r>
  <r>
    <n v="568"/>
    <d v="2024-02-09T02:27:02"/>
    <d v="2024-02-09T06:30:16"/>
    <x v="510"/>
    <x v="1"/>
    <x v="0"/>
    <x v="1"/>
    <x v="2"/>
    <n v="1"/>
    <s v="IT"/>
    <s v="saas"/>
    <s v="Printer on dock 4 is stuck in offline state."/>
    <s v="Printer on dock 4 is stuck in offline state. Reported by Susan from Warehouse."/>
    <b v="0"/>
    <b v="0"/>
  </r>
  <r>
    <n v="569"/>
    <d v="2024-02-09T05:27:31"/>
    <d v="2024-02-09T06:45:04"/>
    <x v="511"/>
    <x v="3"/>
    <x v="0"/>
    <x v="3"/>
    <x v="7"/>
    <n v="6"/>
    <s v="IT"/>
    <s v="peripherals"/>
    <s v="Voicemail transcription unavailable in mobile app."/>
    <s v="Voicemail transcription unavailable in mobile app. Reported by Cynthia from HR."/>
    <b v="1"/>
    <b v="0"/>
  </r>
  <r>
    <n v="570"/>
    <d v="2024-02-09T09:01:10"/>
    <d v="2024-02-09T10:42:06"/>
    <x v="512"/>
    <x v="1"/>
    <x v="0"/>
    <x v="3"/>
    <x v="0"/>
    <n v="2"/>
    <s v="Finance"/>
    <s v="business-apps"/>
    <s v="Teams meeting room camera flickers after restart."/>
    <s v="Teams meeting room camera flickers after restart. Reported by Maria from HR."/>
    <b v="0"/>
    <b v="0"/>
  </r>
  <r>
    <n v="571"/>
    <d v="2024-02-09T11:53:42"/>
    <d v="2024-02-09T19:48:24"/>
    <x v="513"/>
    <x v="2"/>
    <x v="0"/>
    <x v="1"/>
    <x v="6"/>
    <n v="7"/>
    <s v="Warehouse"/>
    <s v="identity"/>
    <s v="Warehouse scanner will not sync picks to WMS."/>
    <s v="Warehouse scanner will not sync picks to WMS. Reported by Jasmine from HR."/>
    <b v="0"/>
    <b v="0"/>
  </r>
  <r>
    <n v="572"/>
    <d v="2024-02-09T16:12:56"/>
    <d v="2024-02-09T22:08:06"/>
    <x v="514"/>
    <x v="1"/>
    <x v="0"/>
    <x v="3"/>
    <x v="7"/>
    <n v="2"/>
    <s v="HR"/>
    <s v="peripherals"/>
    <s v="VPN fails only for users in Phoenix office."/>
    <s v="VPN fails only for users in Phoenix office. Reported by Ryan from HR."/>
    <b v="0"/>
    <b v="0"/>
  </r>
  <r>
    <n v="573"/>
    <d v="2024-02-09T16:48:24"/>
    <d v="2024-02-09T22:05:01"/>
    <x v="515"/>
    <x v="2"/>
    <x v="0"/>
    <x v="0"/>
    <x v="6"/>
    <n v="3"/>
    <s v="Finance"/>
    <s v="identity"/>
    <s v="New contractor needs temporary access to WMS."/>
    <s v="New contractor needs temporary access to WMS. Reported by Jessica from Operations."/>
    <b v="0"/>
    <b v="0"/>
  </r>
  <r>
    <n v="574"/>
    <d v="2024-02-09T18:06:33"/>
    <d v="2024-02-09T20:03:43"/>
    <x v="516"/>
    <x v="1"/>
    <x v="0"/>
    <x v="1"/>
    <x v="3"/>
    <n v="6"/>
    <s v="Warehouse"/>
    <s v="security"/>
    <s v="New Zebra printer not visible to shipping station."/>
    <s v="New Zebra printer not visible to shipping station. Reported by Tammy from HR."/>
    <b v="0"/>
    <b v="0"/>
  </r>
  <r>
    <n v="575"/>
    <d v="2024-02-09T20:13:33"/>
    <d v="2024-02-10T02:38:22"/>
    <x v="517"/>
    <x v="1"/>
    <x v="0"/>
    <x v="0"/>
    <x v="6"/>
    <n v="4"/>
    <s v="IT"/>
    <s v="identity"/>
    <s v="Email quarantine released but message still missing."/>
    <s v="Email quarantine released but message still missing. Reported by Joseph from Sales."/>
    <b v="0"/>
    <b v="0"/>
  </r>
  <r>
    <n v="576"/>
    <d v="2024-02-10T00:46:59"/>
    <d v="2024-02-10T19:06:30"/>
    <x v="518"/>
    <x v="2"/>
    <x v="0"/>
    <x v="0"/>
    <x v="6"/>
    <n v="3"/>
    <s v="HR"/>
    <s v="identity"/>
    <s v="Phone soft client cannot register after ISP change."/>
    <s v="Phone soft client cannot register after ISP change. Reported by Lindsey from Operations."/>
    <b v="0"/>
    <b v="0"/>
  </r>
  <r>
    <n v="577"/>
    <d v="2024-02-10T02:04:19"/>
    <d v="2024-02-10T03:12:49"/>
    <x v="519"/>
    <x v="0"/>
    <x v="0"/>
    <x v="0"/>
    <x v="0"/>
    <n v="1"/>
    <s v="Operations"/>
    <s v="business-apps"/>
    <s v="Voicemail transcription unavailable in mobile app."/>
    <s v="Voicemail transcription unavailable in mobile app. Reported by Amanda from Sales."/>
    <b v="0"/>
    <b v="0"/>
  </r>
  <r>
    <n v="578"/>
    <d v="2024-02-10T02:11:14"/>
    <d v="2024-02-10T08:04:55"/>
    <x v="520"/>
    <x v="1"/>
    <x v="0"/>
    <x v="0"/>
    <x v="3"/>
    <n v="1"/>
    <s v="HR"/>
    <s v="security"/>
    <s v="Service account password expired on integration job."/>
    <s v="Service account password expired on integration job. Reported by Timothy from Operations."/>
    <b v="0"/>
    <b v="0"/>
  </r>
  <r>
    <n v="579"/>
    <d v="2024-02-10T02:12:56"/>
    <d v="2024-02-10T09:43:34"/>
    <x v="521"/>
    <x v="1"/>
    <x v="0"/>
    <x v="3"/>
    <x v="3"/>
    <n v="2"/>
    <s v="Finance"/>
    <s v="security"/>
    <s v="Shared mailbox permissions disappeared overnight."/>
    <s v="Shared mailbox permissions disappeared overnight. Reported by Ryan from Operations."/>
    <b v="0"/>
    <b v="0"/>
  </r>
  <r>
    <n v="580"/>
    <d v="2024-02-10T02:27:16"/>
    <d v="2024-02-10T04:21:11"/>
    <x v="522"/>
    <x v="0"/>
    <x v="0"/>
    <x v="2"/>
    <x v="0"/>
    <n v="3"/>
    <s v="HR"/>
    <s v="business-apps"/>
    <s v="Slack notifications delayed for customer support queue."/>
    <s v="Slack notifications delayed for customer support queue. Reported by Jessica from Warehouse."/>
    <b v="0"/>
    <b v="0"/>
  </r>
  <r>
    <n v="581"/>
    <d v="2024-02-10T02:41:40"/>
    <d v="2024-02-10T08:11:53"/>
    <x v="523"/>
    <x v="1"/>
    <x v="0"/>
    <x v="3"/>
    <x v="5"/>
    <n v="2"/>
    <s v="Operations"/>
    <s v="endpoint"/>
    <s v="Suspicious login alert triggered for finance user."/>
    <s v="Suspicious login alert triggered for finance user. Reported by Joseph from Warehouse."/>
    <b v="0"/>
    <b v="0"/>
  </r>
  <r>
    <n v="582"/>
    <d v="2024-02-10T04:47:28"/>
    <d v="2024-02-10T17:58:30"/>
    <x v="524"/>
    <x v="2"/>
    <x v="0"/>
    <x v="2"/>
    <x v="1"/>
    <n v="6"/>
    <s v="Sales"/>
    <s v="voice"/>
    <s v="Shared mailbox permissions disappeared overnight."/>
    <s v="Shared mailbox permissions disappeared overnight. Reported by Melissa from HR."/>
    <b v="0"/>
    <b v="0"/>
  </r>
  <r>
    <n v="583"/>
    <d v="2024-02-10T06:25:50"/>
    <d v="2024-02-10T07:04:39"/>
    <x v="525"/>
    <x v="0"/>
    <x v="0"/>
    <x v="1"/>
    <x v="6"/>
    <n v="9"/>
    <s v="Sales"/>
    <s v="identity"/>
    <s v="Conditional access policy locked out break-glass account."/>
    <s v="Conditional access policy locked out break-glass account. Reported by Mariah from HR."/>
    <b v="0"/>
    <b v="0"/>
  </r>
  <r>
    <n v="584"/>
    <d v="2024-02-10T08:54:41"/>
    <d v="2024-02-10T12:17:23"/>
    <x v="526"/>
    <x v="2"/>
    <x v="0"/>
    <x v="0"/>
    <x v="4"/>
    <n v="8"/>
    <s v="Warehouse"/>
    <s v="network"/>
    <s v="Email search indexing incomplete after migration."/>
    <s v="Email search indexing incomplete after migration. Reported by Christopher from Warehouse."/>
    <b v="0"/>
    <b v="0"/>
  </r>
  <r>
    <n v="585"/>
    <d v="2024-02-10T09:03:15"/>
    <d v="2024-02-10T12:08:19"/>
    <x v="527"/>
    <x v="1"/>
    <x v="0"/>
    <x v="3"/>
    <x v="3"/>
    <n v="4"/>
    <s v="HR"/>
    <s v="security"/>
    <s v="Scanner cradle not charging overnight."/>
    <s v="Scanner cradle not charging overnight. Reported by Nicole from Warehouse."/>
    <b v="0"/>
    <b v="0"/>
  </r>
  <r>
    <n v="586"/>
    <d v="2024-02-10T12:10:57"/>
    <d v="2024-02-10T14:15:14"/>
    <x v="528"/>
    <x v="0"/>
    <x v="0"/>
    <x v="0"/>
    <x v="0"/>
    <n v="5"/>
    <s v="Warehouse"/>
    <s v="business-apps"/>
    <s v="Warehouse tablet battery draining within one shift."/>
    <s v="Warehouse tablet battery draining within one shift. Reported by John from Finance."/>
    <b v="0"/>
    <b v="0"/>
  </r>
  <r>
    <n v="587"/>
    <d v="2024-02-10T15:16:16"/>
    <d v="2024-02-10T21:02:05"/>
    <x v="529"/>
    <x v="1"/>
    <x v="0"/>
    <x v="1"/>
    <x v="3"/>
    <n v="8"/>
    <s v="HR"/>
    <s v="security"/>
    <s v="VPN client update failed with rollback error."/>
    <s v="VPN client update failed with rollback error. Reported by Steven from HR."/>
    <b v="0"/>
    <b v="0"/>
  </r>
  <r>
    <n v="588"/>
    <d v="2024-02-10T15:28:47"/>
    <d v="2024-02-10T16:10:26"/>
    <x v="530"/>
    <x v="0"/>
    <x v="0"/>
    <x v="3"/>
    <x v="3"/>
    <n v="10"/>
    <s v="Warehouse"/>
    <s v="security"/>
    <s v="Laptop blue-screened during payroll export."/>
    <s v="Laptop blue-screened during payroll export. Reported by Cheryl from Warehouse."/>
    <b v="0"/>
    <b v="0"/>
  </r>
  <r>
    <n v="589"/>
    <d v="2024-02-10T17:53:13"/>
    <d v="2024-02-11T00:38:25"/>
    <x v="531"/>
    <x v="2"/>
    <x v="0"/>
    <x v="1"/>
    <x v="1"/>
    <n v="6"/>
    <s v="Warehouse"/>
    <s v="voice"/>
    <s v="Docking station no longer drives dual monitors."/>
    <s v="Docking station no longer drives dual monitors. Reported by Nicholas from HR."/>
    <b v="0"/>
    <b v="0"/>
  </r>
  <r>
    <n v="590"/>
    <d v="2024-02-10T17:57:21"/>
    <d v="2024-02-11T01:56:01"/>
    <x v="532"/>
    <x v="1"/>
    <x v="0"/>
    <x v="1"/>
    <x v="0"/>
    <n v="2"/>
    <s v="Warehouse"/>
    <s v="business-apps"/>
    <s v="VPN disconnects every 15 minutes on hotel Wi-Fi."/>
    <s v="VPN disconnects every 15 minutes on hotel Wi-Fi. Reported by Anthony from Operations."/>
    <b v="0"/>
    <b v="0"/>
  </r>
  <r>
    <n v="591"/>
    <d v="2024-02-10T20:05:41"/>
    <d v="2024-02-10T21:01:13"/>
    <x v="533"/>
    <x v="3"/>
    <x v="0"/>
    <x v="0"/>
    <x v="3"/>
    <n v="9"/>
    <s v="Sales"/>
    <s v="security"/>
    <s v="Distribution center users cannot reach file server."/>
    <s v="Distribution center users cannot reach file server. Reported by Melissa from Operations."/>
    <b v="1"/>
    <b v="0"/>
  </r>
  <r>
    <n v="592"/>
    <d v="2024-02-11T01:39:25"/>
    <d v="2024-02-11T06:42:34"/>
    <x v="534"/>
    <x v="1"/>
    <x v="0"/>
    <x v="2"/>
    <x v="5"/>
    <n v="6"/>
    <s v="HR"/>
    <s v="endpoint"/>
    <s v="Warehouse scanner will not sync picks to WMS."/>
    <s v="Warehouse scanner will not sync picks to WMS. Reported by Hunter from HR."/>
    <b v="0"/>
    <b v="0"/>
  </r>
  <r>
    <n v="593"/>
    <d v="2024-02-11T02:14:24"/>
    <d v="2024-02-11T08:01:11"/>
    <x v="535"/>
    <x v="1"/>
    <x v="0"/>
    <x v="0"/>
    <x v="5"/>
    <n v="1"/>
    <s v="Sales"/>
    <s v="endpoint"/>
    <s v="Barcode labels printing with incorrect dimensions."/>
    <s v="Barcode labels printing with incorrect dimensions. Reported by Jason from Operations."/>
    <b v="0"/>
    <b v="0"/>
  </r>
  <r>
    <n v="594"/>
    <d v="2024-02-11T03:22:51"/>
    <d v="2024-02-11T09:36:43"/>
    <x v="536"/>
    <x v="1"/>
    <x v="0"/>
    <x v="2"/>
    <x v="6"/>
    <n v="3"/>
    <s v="Finance"/>
    <s v="identity"/>
    <s v="Finance cannot export month-end AP aging report."/>
    <s v="Finance cannot export month-end AP aging report. Reported by Lauren from HR."/>
    <b v="0"/>
    <b v="0"/>
  </r>
  <r>
    <n v="595"/>
    <d v="2024-02-11T05:08:28"/>
    <d v="2024-02-11T06:18:58"/>
    <x v="537"/>
    <x v="0"/>
    <x v="0"/>
    <x v="0"/>
    <x v="5"/>
    <n v="6"/>
    <s v="Operations"/>
    <s v="endpoint"/>
    <s v="Finance cannot export month-end AP aging report."/>
    <s v="Finance cannot export month-end AP aging report. Reported by Matthew from Operations."/>
    <b v="0"/>
    <b v="0"/>
  </r>
  <r>
    <n v="596"/>
    <d v="2024-02-11T05:50:44"/>
    <d v="2024-02-11T07:31:00"/>
    <x v="538"/>
    <x v="0"/>
    <x v="0"/>
    <x v="1"/>
    <x v="6"/>
    <n v="9"/>
    <s v="Warehouse"/>
    <s v="identity"/>
    <s v="Scanner cradle not charging overnight."/>
    <s v="Scanner cradle not charging overnight. Reported by Nicole from Sales."/>
    <b v="0"/>
    <b v="0"/>
  </r>
  <r>
    <n v="597"/>
    <d v="2024-02-11T06:29:40"/>
    <d v="2024-02-11T12:27:24"/>
    <x v="539"/>
    <x v="1"/>
    <x v="0"/>
    <x v="3"/>
    <x v="3"/>
    <n v="9"/>
    <s v="Operations"/>
    <s v="security"/>
    <s v="Excel add-in blocked by security policy."/>
    <s v="Excel add-in blocked by security policy. Reported by Jacqueline from HR."/>
    <b v="0"/>
    <b v="0"/>
  </r>
  <r>
    <n v="598"/>
    <d v="2024-02-11T11:47:40"/>
    <d v="2024-02-12T04:25:54"/>
    <x v="540"/>
    <x v="2"/>
    <x v="1"/>
    <x v="1"/>
    <x v="2"/>
    <n v="2"/>
    <s v="Sales"/>
    <s v="saas"/>
    <s v="Power BI refresh failing after service account rotation."/>
    <s v="Power BI refresh failing after service account rotation. Reported by Joshua from Finance."/>
    <b v="0"/>
    <b v="0"/>
  </r>
  <r>
    <n v="599"/>
    <d v="2024-02-11T13:05:19"/>
    <d v="2024-02-12T01:46:39"/>
    <x v="10"/>
    <x v="2"/>
    <x v="2"/>
    <x v="1"/>
    <x v="2"/>
    <n v="8"/>
    <s v="Finance"/>
    <s v="saas"/>
    <s v="Scanner firmware update broke keyboard wedge mode."/>
    <s v="Scanner firmware update broke keyboard wedge mode. Reported by Alejandro from Sales."/>
    <b v="0"/>
    <b v="0"/>
  </r>
  <r>
    <n v="600"/>
    <d v="2024-02-11T13:33:56"/>
    <d v="2024-02-11T20:07:05"/>
    <x v="541"/>
    <x v="1"/>
    <x v="0"/>
    <x v="2"/>
    <x v="7"/>
    <n v="10"/>
    <s v="Sales"/>
    <s v="peripherals"/>
    <s v="Mailbox forwarding rule recreated after removal."/>
    <s v="Mailbox forwarding rule recreated after removal. Reported by Stacy from HR."/>
    <b v="0"/>
    <b v="0"/>
  </r>
  <r>
    <n v="601"/>
    <d v="2024-02-11T13:55:36"/>
    <d v="2024-02-11T18:59:17"/>
    <x v="10"/>
    <x v="1"/>
    <x v="2"/>
    <x v="0"/>
    <x v="4"/>
    <n v="8"/>
    <s v="HR"/>
    <s v="network"/>
    <s v="Docking station no longer drives dual monitors."/>
    <s v="Docking station no longer drives dual monitors. Reported by Christopher from Finance."/>
    <b v="0"/>
    <b v="0"/>
  </r>
  <r>
    <n v="602"/>
    <d v="2024-02-11T13:55:51"/>
    <d v="2024-02-11T16:50:56"/>
    <x v="542"/>
    <x v="2"/>
    <x v="0"/>
    <x v="1"/>
    <x v="0"/>
    <n v="8"/>
    <s v="Warehouse"/>
    <s v="business-apps"/>
    <s v="Email quarantine released but message still missing."/>
    <s v="Email quarantine released but message still missing. Reported by Jennifer from HR."/>
    <b v="0"/>
    <b v="0"/>
  </r>
  <r>
    <n v="603"/>
    <d v="2024-02-11T15:40:13"/>
    <d v="2024-02-11T16:17:44"/>
    <x v="543"/>
    <x v="3"/>
    <x v="0"/>
    <x v="0"/>
    <x v="6"/>
    <n v="8"/>
    <s v="Sales"/>
    <s v="identity"/>
    <s v="Printer on dock 4 is stuck in offline state."/>
    <s v="Printer on dock 4 is stuck in offline state. Reported by Tracy from Warehouse."/>
    <b v="1"/>
    <b v="0"/>
  </r>
  <r>
    <n v="604"/>
    <d v="2024-02-11T16:03:37"/>
    <d v="2024-02-11T18:50:59"/>
    <x v="544"/>
    <x v="1"/>
    <x v="0"/>
    <x v="2"/>
    <x v="7"/>
    <n v="6"/>
    <s v="IT"/>
    <s v="peripherals"/>
    <s v="Mailbox forwarding rule recreated after removal."/>
    <s v="Mailbox forwarding rule recreated after removal. Reported by Katherine from Operations."/>
    <b v="0"/>
    <b v="0"/>
  </r>
  <r>
    <n v="605"/>
    <d v="2024-02-12T01:43:17"/>
    <d v="2024-02-12T06:49:29"/>
    <x v="545"/>
    <x v="1"/>
    <x v="0"/>
    <x v="3"/>
    <x v="3"/>
    <n v="7"/>
    <s v="Operations"/>
    <s v="security"/>
    <s v="Warehouse RF gun drops Wi-Fi in aisle B."/>
    <s v="Warehouse RF gun drops Wi-Fi in aisle B. Reported by Hannah from Operations."/>
    <b v="0"/>
    <b v="0"/>
  </r>
  <r>
    <n v="606"/>
    <d v="2024-02-12T03:26:15"/>
    <d v="2024-02-12T05:02:02"/>
    <x v="546"/>
    <x v="1"/>
    <x v="0"/>
    <x v="2"/>
    <x v="6"/>
    <n v="6"/>
    <s v="Sales"/>
    <s v="identity"/>
    <s v="Outlook keeps prompting for password on Mac."/>
    <s v="Outlook keeps prompting for password on Mac. Reported by Debbie from HR."/>
    <b v="0"/>
    <b v="0"/>
  </r>
  <r>
    <n v="607"/>
    <d v="2024-02-12T09:15:46"/>
    <d v="2024-02-12T15:08:23"/>
    <x v="547"/>
    <x v="1"/>
    <x v="0"/>
    <x v="0"/>
    <x v="6"/>
    <n v="10"/>
    <s v="Sales"/>
    <s v="identity"/>
    <s v="New Zebra printer not visible to shipping station."/>
    <s v="New Zebra printer not visible to shipping station. Reported by Travis from Sales."/>
    <b v="0"/>
    <b v="0"/>
  </r>
  <r>
    <n v="608"/>
    <d v="2024-02-12T09:32:25"/>
    <d v="2024-02-12T13:57:12"/>
    <x v="548"/>
    <x v="1"/>
    <x v="0"/>
    <x v="0"/>
    <x v="5"/>
    <n v="4"/>
    <s v="Warehouse"/>
    <s v="endpoint"/>
    <s v="Sales laptop webcam missing from device manager."/>
    <s v="Sales laptop webcam missing from device manager. Reported by Laura from HR."/>
    <b v="0"/>
    <b v="0"/>
  </r>
  <r>
    <n v="609"/>
    <d v="2024-02-12T11:03:42"/>
    <d v="2024-02-12T16:28:32"/>
    <x v="549"/>
    <x v="1"/>
    <x v="0"/>
    <x v="1"/>
    <x v="0"/>
    <n v="8"/>
    <s v="Finance"/>
    <s v="business-apps"/>
    <s v="Shared mailbox permissions disappeared overnight."/>
    <s v="Shared mailbox permissions disappeared overnight. Reported by Christopher from Sales."/>
    <b v="0"/>
    <b v="0"/>
  </r>
  <r>
    <n v="610"/>
    <d v="2024-02-12T12:23:14"/>
    <d v="2024-02-12T15:02:56"/>
    <x v="550"/>
    <x v="0"/>
    <x v="0"/>
    <x v="0"/>
    <x v="3"/>
    <n v="1"/>
    <s v="Warehouse"/>
    <s v="security"/>
    <s v="Scanner firmware update broke keyboard wedge mode."/>
    <s v="Scanner firmware update broke keyboard wedge mode. Reported by Jeffrey from Warehouse."/>
    <b v="0"/>
    <b v="0"/>
  </r>
  <r>
    <n v="611"/>
    <d v="2024-02-12T14:17:18"/>
    <d v="2024-02-12T17:54:31"/>
    <x v="551"/>
    <x v="1"/>
    <x v="0"/>
    <x v="2"/>
    <x v="3"/>
    <n v="5"/>
    <s v="Operations"/>
    <s v="security"/>
    <s v="Procurement team reports ERP attachments missing."/>
    <s v="Procurement team reports ERP attachments missing. Reported by Heather from Operations."/>
    <b v="0"/>
    <b v="0"/>
  </r>
  <r>
    <n v="612"/>
    <d v="2024-02-12T15:42:21"/>
    <d v="2024-02-12T19:30:12"/>
    <x v="552"/>
    <x v="1"/>
    <x v="0"/>
    <x v="0"/>
    <x v="3"/>
    <n v="10"/>
    <s v="Operations"/>
    <s v="security"/>
    <s v="CEO calendar delegate can no longer edit events."/>
    <s v="CEO calendar delegate can no longer edit events. Reported by Kevin from Sales."/>
    <b v="1"/>
    <b v="0"/>
  </r>
  <r>
    <n v="613"/>
    <d v="2024-02-12T16:23:52"/>
    <d v="2024-02-12T19:18:11"/>
    <x v="553"/>
    <x v="0"/>
    <x v="0"/>
    <x v="1"/>
    <x v="0"/>
    <n v="3"/>
    <s v="Warehouse"/>
    <s v="business-apps"/>
    <s v="Conditional access policy locked out break-glass account."/>
    <s v="Conditional access policy locked out break-glass account. Reported by Bonnie from Sales."/>
    <b v="1"/>
    <b v="0"/>
  </r>
  <r>
    <n v="614"/>
    <d v="2024-02-12T20:11:48"/>
    <d v="2024-02-13T03:30:35"/>
    <x v="554"/>
    <x v="1"/>
    <x v="0"/>
    <x v="3"/>
    <x v="7"/>
    <n v="8"/>
    <s v="Sales"/>
    <s v="peripherals"/>
    <s v="Warehouse RF gun drops Wi-Fi in aisle B."/>
    <s v="Warehouse RF gun drops Wi-Fi in aisle B. Reported by Thomas from Warehouse."/>
    <b v="0"/>
    <b v="0"/>
  </r>
  <r>
    <n v="615"/>
    <d v="2024-02-12T23:45:12"/>
    <d v="2024-02-13T02:54:28"/>
    <x v="555"/>
    <x v="2"/>
    <x v="0"/>
    <x v="0"/>
    <x v="4"/>
    <n v="6"/>
    <s v="Operations"/>
    <s v="network"/>
    <s v="Teams calls dropping audio after two minutes."/>
    <s v="Teams calls dropping audio after two minutes. Reported by Alyssa from Operations."/>
    <b v="0"/>
    <b v="0"/>
  </r>
  <r>
    <n v="616"/>
    <d v="2024-02-13T00:51:43"/>
    <d v="2024-02-13T03:27:07"/>
    <x v="10"/>
    <x v="2"/>
    <x v="3"/>
    <x v="1"/>
    <x v="7"/>
    <n v="2"/>
    <s v="IT"/>
    <s v="peripherals"/>
    <s v="VPN fails only for users in Phoenix office."/>
    <s v="VPN fails only for users in Phoenix office. Reported by Ronald from Finance."/>
    <b v="0"/>
    <b v="0"/>
  </r>
  <r>
    <n v="617"/>
    <d v="2024-02-13T02:29:05"/>
    <d v="2024-02-13T08:47:45"/>
    <x v="556"/>
    <x v="1"/>
    <x v="0"/>
    <x v="0"/>
    <x v="5"/>
    <n v="2"/>
    <s v="IT"/>
    <s v="endpoint"/>
    <s v="Email signatures disappeared for sales team."/>
    <s v="Email signatures disappeared for sales team. Reported by Julie from Finance."/>
    <b v="0"/>
    <b v="0"/>
  </r>
  <r>
    <n v="618"/>
    <d v="2024-02-13T05:04:28"/>
    <d v="2024-02-13T07:26:37"/>
    <x v="557"/>
    <x v="1"/>
    <x v="0"/>
    <x v="0"/>
    <x v="1"/>
    <n v="2"/>
    <s v="Finance"/>
    <s v="voice"/>
    <s v="MFA push not arriving on replacement phone."/>
    <s v="MFA push not arriving on replacement phone. Reported by Mark from Sales."/>
    <b v="0"/>
    <b v="0"/>
  </r>
  <r>
    <n v="619"/>
    <d v="2024-02-13T05:48:52"/>
    <d v="2024-02-13T10:24:32"/>
    <x v="558"/>
    <x v="1"/>
    <x v="0"/>
    <x v="2"/>
    <x v="6"/>
    <n v="5"/>
    <s v="Finance"/>
    <s v="identity"/>
    <s v="ERP role request approved but not applied."/>
    <s v="ERP role request approved but not applied. Reported by Jacqueline from Sales."/>
    <b v="0"/>
    <b v="0"/>
  </r>
  <r>
    <n v="620"/>
    <d v="2024-02-13T06:53:07"/>
    <d v="2024-02-13T18:48:55"/>
    <x v="559"/>
    <x v="2"/>
    <x v="0"/>
    <x v="0"/>
    <x v="1"/>
    <n v="4"/>
    <s v="IT"/>
    <s v="voice"/>
    <s v="Mailbox forwarding rule recreated after removal."/>
    <s v="Mailbox forwarding rule recreated after removal. Reported by Joseph from HR."/>
    <b v="0"/>
    <b v="0"/>
  </r>
  <r>
    <n v="621"/>
    <d v="2024-02-13T07:50:45"/>
    <d v="2024-02-13T12:35:48"/>
    <x v="560"/>
    <x v="1"/>
    <x v="0"/>
    <x v="3"/>
    <x v="2"/>
    <n v="9"/>
    <s v="Operations"/>
    <s v="saas"/>
    <s v="Email quarantine released but message still missing."/>
    <s v="Email quarantine released but message still missing. Reported by John from Sales."/>
    <b v="0"/>
    <b v="0"/>
  </r>
  <r>
    <n v="622"/>
    <d v="2024-02-13T08:08:00"/>
    <d v="2024-02-13T15:46:46"/>
    <x v="561"/>
    <x v="1"/>
    <x v="1"/>
    <x v="1"/>
    <x v="7"/>
    <n v="8"/>
    <s v="HR"/>
    <s v="peripherals"/>
    <s v="Warehouse scanner will not sync picks to WMS."/>
    <s v="Warehouse scanner will not sync picks to WMS. Reported by David from HR."/>
    <b v="0"/>
    <b v="0"/>
  </r>
  <r>
    <n v="623"/>
    <d v="2024-02-13T08:30:21"/>
    <d v="2024-02-14T01:15:27"/>
    <x v="562"/>
    <x v="2"/>
    <x v="0"/>
    <x v="3"/>
    <x v="5"/>
    <n v="2"/>
    <s v="Warehouse"/>
    <s v="endpoint"/>
    <s v="VPN disconnects every 15 minutes on hotel Wi-Fi."/>
    <s v="VPN disconnects every 15 minutes on hotel Wi-Fi. Reported by James from Finance."/>
    <b v="0"/>
    <b v="0"/>
  </r>
  <r>
    <n v="624"/>
    <d v="2024-02-13T11:24:05"/>
    <d v="2024-02-13T12:18:22"/>
    <x v="563"/>
    <x v="0"/>
    <x v="0"/>
    <x v="0"/>
    <x v="4"/>
    <n v="6"/>
    <s v="Warehouse"/>
    <s v="network"/>
    <s v="Teams calls dropping audio after two minutes."/>
    <s v="Teams calls dropping audio after two minutes. Reported by David from Sales."/>
    <b v="0"/>
    <b v="0"/>
  </r>
  <r>
    <n v="625"/>
    <d v="2024-02-13T14:25:41"/>
    <d v="2024-02-13T16:16:01"/>
    <x v="564"/>
    <x v="1"/>
    <x v="0"/>
    <x v="1"/>
    <x v="3"/>
    <n v="8"/>
    <s v="HR"/>
    <s v="security"/>
    <s v="ERP role request approved but not applied."/>
    <s v="ERP role request approved but not applied. Reported by Amanda from HR."/>
    <b v="0"/>
    <b v="0"/>
  </r>
  <r>
    <n v="626"/>
    <d v="2024-02-13T15:15:52"/>
    <d v="2024-02-13T16:49:06"/>
    <x v="10"/>
    <x v="1"/>
    <x v="3"/>
    <x v="2"/>
    <x v="6"/>
    <n v="7"/>
    <s v="Finance"/>
    <s v="identity"/>
    <s v="VPN client update failed with rollback error."/>
    <s v="VPN client update failed with rollback error. Reported by Kathleen from Warehouse."/>
    <b v="0"/>
    <b v="0"/>
  </r>
  <r>
    <n v="627"/>
    <d v="2024-02-13T17:21:09"/>
    <d v="2024-02-13T18:45:52"/>
    <x v="565"/>
    <x v="1"/>
    <x v="0"/>
    <x v="0"/>
    <x v="5"/>
    <n v="1"/>
    <s v="IT"/>
    <s v="endpoint"/>
    <s v="VPN outage reported by remote finance staff."/>
    <s v="VPN outage reported by remote finance staff. Reported by Jacob from Sales."/>
    <b v="0"/>
    <b v="0"/>
  </r>
  <r>
    <n v="628"/>
    <d v="2024-02-13T17:49:34"/>
    <d v="2024-02-14T09:08:52"/>
    <x v="566"/>
    <x v="2"/>
    <x v="0"/>
    <x v="1"/>
    <x v="7"/>
    <n v="1"/>
    <s v="Warehouse"/>
    <s v="peripherals"/>
    <s v="Teams calls dropping audio after two minutes."/>
    <s v="Teams calls dropping audio after two minutes. Reported by Javier from Warehouse."/>
    <b v="0"/>
    <b v="0"/>
  </r>
  <r>
    <n v="629"/>
    <d v="2024-02-13T18:34:56"/>
    <d v="2024-02-14T00:17:08"/>
    <x v="567"/>
    <x v="1"/>
    <x v="0"/>
    <x v="1"/>
    <x v="3"/>
    <n v="6"/>
    <s v="Finance"/>
    <s v="security"/>
    <s v="Warehouse RF gun drops Wi-Fi in aisle B."/>
    <s v="Warehouse RF gun drops Wi-Fi in aisle B. Reported by Todd from Finance."/>
    <b v="0"/>
    <b v="0"/>
  </r>
  <r>
    <n v="630"/>
    <d v="2024-02-13T18:44:06"/>
    <d v="2024-02-13T20:58:54"/>
    <x v="568"/>
    <x v="1"/>
    <x v="0"/>
    <x v="3"/>
    <x v="2"/>
    <n v="10"/>
    <s v="IT"/>
    <s v="saas"/>
    <s v="New hire missing access to onboarding portal."/>
    <s v="New hire missing access to onboarding portal. Reported by Jenny from Warehouse."/>
    <b v="0"/>
    <b v="0"/>
  </r>
  <r>
    <n v="631"/>
    <d v="2024-02-13T19:41:28"/>
    <d v="2024-02-13T21:26:51"/>
    <x v="10"/>
    <x v="1"/>
    <x v="2"/>
    <x v="3"/>
    <x v="6"/>
    <n v="1"/>
    <s v="Operations"/>
    <s v="identity"/>
    <s v="Label printer feeds blank stock after maintenance."/>
    <s v="Label printer feeds blank stock after maintenance. Reported by Tiffany from Sales."/>
    <b v="0"/>
    <b v="0"/>
  </r>
  <r>
    <n v="632"/>
    <d v="2024-02-13T23:44:22"/>
    <d v="2024-02-14T00:59:49"/>
    <x v="569"/>
    <x v="0"/>
    <x v="0"/>
    <x v="0"/>
    <x v="5"/>
    <n v="2"/>
    <s v="HR"/>
    <s v="endpoint"/>
    <s v="Mailbox forwarding rule recreated after removal."/>
    <s v="Mailbox forwarding rule recreated after removal. Reported by Alicia from Warehouse."/>
    <b v="0"/>
    <b v="0"/>
  </r>
  <r>
    <n v="633"/>
    <d v="2024-02-13T23:59:39"/>
    <d v="2024-02-14T13:17:33"/>
    <x v="570"/>
    <x v="2"/>
    <x v="0"/>
    <x v="3"/>
    <x v="1"/>
    <n v="2"/>
    <s v="Operations"/>
    <s v="voice"/>
    <s v="Suspicious login alert triggered for finance user."/>
    <s v="Suspicious login alert triggered for finance user. Reported by Justin from Sales."/>
    <b v="0"/>
    <b v="0"/>
  </r>
  <r>
    <n v="634"/>
    <d v="2024-02-14T01:17:03"/>
    <d v="2024-02-14T06:34:09"/>
    <x v="571"/>
    <x v="2"/>
    <x v="1"/>
    <x v="3"/>
    <x v="5"/>
    <n v="4"/>
    <s v="Sales"/>
    <s v="endpoint"/>
    <s v="Intune enrollment stuck on compliance evaluation."/>
    <s v="Intune enrollment stuck on compliance evaluation. Reported by Craig from HR."/>
    <b v="0"/>
    <b v="0"/>
  </r>
  <r>
    <n v="635"/>
    <d v="2024-02-14T03:15:03"/>
    <d v="2024-02-14T14:19:39"/>
    <x v="10"/>
    <x v="2"/>
    <x v="3"/>
    <x v="1"/>
    <x v="0"/>
    <n v="9"/>
    <s v="Finance"/>
    <s v="business-apps"/>
    <s v="ERP role request approved but not applied."/>
    <s v="ERP role request approved but not applied. Reported by James from Sales."/>
    <b v="0"/>
    <b v="0"/>
  </r>
  <r>
    <n v="636"/>
    <d v="2024-02-14T04:26:57"/>
    <d v="2024-02-14T13:45:08"/>
    <x v="572"/>
    <x v="2"/>
    <x v="0"/>
    <x v="0"/>
    <x v="1"/>
    <n v="10"/>
    <s v="IT"/>
    <s v="voice"/>
    <s v="Docking station no longer drives dual monitors."/>
    <s v="Docking station no longer drives dual monitors. Reported by Jeremy from Warehouse."/>
    <b v="0"/>
    <b v="0"/>
  </r>
  <r>
    <n v="637"/>
    <d v="2024-02-14T04:27:25"/>
    <d v="2024-02-14T11:51:28"/>
    <x v="573"/>
    <x v="1"/>
    <x v="0"/>
    <x v="2"/>
    <x v="2"/>
    <n v="4"/>
    <s v="Finance"/>
    <s v="saas"/>
    <s v="Payroll batch job missed scheduled overnight window."/>
    <s v="Payroll batch job missed scheduled overnight window. Reported by Harry from HR."/>
    <b v="0"/>
    <b v="0"/>
  </r>
  <r>
    <n v="638"/>
    <d v="2024-02-14T05:29:30"/>
    <d v="2024-02-14T09:25:16"/>
    <x v="574"/>
    <x v="1"/>
    <x v="0"/>
    <x v="0"/>
    <x v="6"/>
    <n v="8"/>
    <s v="Sales"/>
    <s v="identity"/>
    <s v="Laptop blue-screened during payroll export."/>
    <s v="Laptop blue-screened during payroll export. Reported by Alexis from Sales."/>
    <b v="0"/>
    <b v="0"/>
  </r>
  <r>
    <n v="639"/>
    <d v="2024-02-14T06:56:23"/>
    <d v="2024-02-14T12:28:14"/>
    <x v="575"/>
    <x v="1"/>
    <x v="0"/>
    <x v="0"/>
    <x v="3"/>
    <n v="1"/>
    <s v="Operations"/>
    <s v="security"/>
    <s v="M365 outage causing login failures across offices."/>
    <s v="M365 outage causing login failures across offices. Reported by Amanda from HR."/>
    <b v="0"/>
    <b v="0"/>
  </r>
  <r>
    <n v="640"/>
    <d v="2024-02-14T11:08:24"/>
    <d v="2024-02-14T13:05:32"/>
    <x v="576"/>
    <x v="0"/>
    <x v="1"/>
    <x v="3"/>
    <x v="3"/>
    <n v="6"/>
    <s v="Finance"/>
    <s v="security"/>
    <s v="Label printer feeds blank stock after maintenance."/>
    <s v="Label printer feeds blank stock after maintenance. Reported by Joshua from Sales."/>
    <b v="0"/>
    <b v="0"/>
  </r>
  <r>
    <n v="641"/>
    <d v="2024-02-14T11:09:21"/>
    <d v="2024-02-14T17:52:50"/>
    <x v="577"/>
    <x v="1"/>
    <x v="0"/>
    <x v="3"/>
    <x v="7"/>
    <n v="7"/>
    <s v="HR"/>
    <s v="peripherals"/>
    <s v="VPN client update failed with rollback error."/>
    <s v="VPN client update failed with rollback error. Reported by Terri from Finance."/>
    <b v="0"/>
    <b v="0"/>
  </r>
  <r>
    <n v="642"/>
    <d v="2024-02-14T11:50:55"/>
    <d v="2024-02-14T16:17:51"/>
    <x v="578"/>
    <x v="1"/>
    <x v="0"/>
    <x v="3"/>
    <x v="1"/>
    <n v="9"/>
    <s v="IT"/>
    <s v="voice"/>
    <s v="Conference room display shows no HDMI signal."/>
    <s v="Conference room display shows no HDMI signal. Reported by Angela from HR."/>
    <b v="0"/>
    <b v="0"/>
  </r>
  <r>
    <n v="643"/>
    <d v="2024-02-14T13:53:28"/>
    <d v="2024-02-14T14:22:15"/>
    <x v="579"/>
    <x v="3"/>
    <x v="0"/>
    <x v="0"/>
    <x v="3"/>
    <n v="9"/>
    <s v="Finance"/>
    <s v="security"/>
    <s v="Conditional access policy locked out break-glass account."/>
    <s v="Conditional access policy locked out break-glass account. Reported by Heidi from HR."/>
    <b v="1"/>
    <b v="0"/>
  </r>
  <r>
    <n v="644"/>
    <d v="2024-02-14T14:58:51"/>
    <d v="2024-02-15T02:41:19"/>
    <x v="580"/>
    <x v="2"/>
    <x v="0"/>
    <x v="2"/>
    <x v="7"/>
    <n v="1"/>
    <s v="Warehouse"/>
    <s v="peripherals"/>
    <s v="Distribution center users cannot reach file server."/>
    <s v="Distribution center users cannot reach file server. Reported by David from Finance."/>
    <b v="0"/>
    <b v="0"/>
  </r>
  <r>
    <n v="645"/>
    <d v="2024-02-14T15:18:13"/>
    <d v="2024-02-14T16:28:15"/>
    <x v="581"/>
    <x v="0"/>
    <x v="0"/>
    <x v="2"/>
    <x v="4"/>
    <n v="5"/>
    <s v="IT"/>
    <s v="network"/>
    <s v="SSO certificate warning shown on benefits portal."/>
    <s v="SSO certificate warning shown on benefits portal. Reported by Miranda from Warehouse."/>
    <b v="0"/>
    <b v="0"/>
  </r>
  <r>
    <n v="646"/>
    <d v="2024-02-14T16:56:11"/>
    <d v="2024-02-14T18:33:24"/>
    <x v="582"/>
    <x v="1"/>
    <x v="0"/>
    <x v="2"/>
    <x v="6"/>
    <n v="1"/>
    <s v="IT"/>
    <s v="identity"/>
    <s v="Sales laptop webcam missing from device manager."/>
    <s v="Sales laptop webcam missing from device manager. Reported by Travis from HR."/>
    <b v="0"/>
    <b v="0"/>
  </r>
  <r>
    <n v="647"/>
    <d v="2024-02-14T18:25:34"/>
    <d v="2024-02-15T10:13:12"/>
    <x v="10"/>
    <x v="2"/>
    <x v="3"/>
    <x v="2"/>
    <x v="7"/>
    <n v="1"/>
    <s v="Sales"/>
    <s v="peripherals"/>
    <s v="BitLocker recovery key prompt appears at boot."/>
    <s v="BitLocker recovery key prompt appears at boot. Reported by Monique from HR."/>
    <b v="0"/>
    <b v="0"/>
  </r>
  <r>
    <n v="648"/>
    <d v="2024-02-14T19:22:19"/>
    <d v="2024-02-15T00:04:45"/>
    <x v="583"/>
    <x v="1"/>
    <x v="0"/>
    <x v="3"/>
    <x v="3"/>
    <n v="2"/>
    <s v="HR"/>
    <s v="security"/>
    <s v="VPN outage reported by remote finance staff."/>
    <s v="VPN outage reported by remote finance staff. Reported by Audrey from Operations."/>
    <b v="0"/>
    <b v="0"/>
  </r>
  <r>
    <n v="649"/>
    <d v="2024-02-14T23:47:28"/>
    <d v="2024-02-15T01:48:12"/>
    <x v="584"/>
    <x v="0"/>
    <x v="0"/>
    <x v="1"/>
    <x v="7"/>
    <n v="10"/>
    <s v="Operations"/>
    <s v="peripherals"/>
    <s v="Email signatures disappeared for sales team."/>
    <s v="Email signatures disappeared for sales team. Reported by Taylor from Finance."/>
    <b v="0"/>
    <b v="0"/>
  </r>
  <r>
    <n v="650"/>
    <d v="2024-02-15T03:38:46"/>
    <d v="2024-02-15T05:03:32"/>
    <x v="585"/>
    <x v="1"/>
    <x v="0"/>
    <x v="1"/>
    <x v="7"/>
    <n v="3"/>
    <s v="Finance"/>
    <s v="peripherals"/>
    <s v="Single sign-on to HRIS returns invalid relay state."/>
    <s v="Single sign-on to HRIS returns invalid relay state. Reported by Scott from Warehouse."/>
    <b v="0"/>
    <b v="0"/>
  </r>
  <r>
    <n v="651"/>
    <d v="2024-02-15T04:14:11"/>
    <d v="2024-02-15T07:28:58"/>
    <x v="586"/>
    <x v="2"/>
    <x v="0"/>
    <x v="0"/>
    <x v="7"/>
    <n v="8"/>
    <s v="HR"/>
    <s v="peripherals"/>
    <s v="Barcode labels printing with incorrect dimensions."/>
    <s v="Barcode labels printing with incorrect dimensions. Reported by Jack from Warehouse."/>
    <b v="0"/>
    <b v="0"/>
  </r>
  <r>
    <n v="652"/>
    <d v="2024-02-15T04:37:46"/>
    <d v="2024-02-15T23:33:05"/>
    <x v="587"/>
    <x v="2"/>
    <x v="0"/>
    <x v="2"/>
    <x v="4"/>
    <n v="8"/>
    <s v="HR"/>
    <s v="network"/>
    <s v="Teams calls dropping audio after two minutes."/>
    <s v="Teams calls dropping audio after two minutes. Reported by Brett from Sales."/>
    <b v="0"/>
    <b v="0"/>
  </r>
  <r>
    <n v="653"/>
    <d v="2024-02-15T06:54:21"/>
    <d v="2024-02-15T12:16:04"/>
    <x v="588"/>
    <x v="1"/>
    <x v="1"/>
    <x v="2"/>
    <x v="6"/>
    <n v="9"/>
    <s v="Warehouse"/>
    <s v="identity"/>
    <s v="Teams calls dropping audio after two minutes."/>
    <s v="Teams calls dropping audio after two minutes. Reported by Shelley from HR."/>
    <b v="0"/>
    <b v="0"/>
  </r>
  <r>
    <n v="654"/>
    <d v="2024-02-15T08:36:22"/>
    <d v="2024-02-15T10:16:30"/>
    <x v="589"/>
    <x v="0"/>
    <x v="0"/>
    <x v="2"/>
    <x v="7"/>
    <n v="6"/>
    <s v="IT"/>
    <s v="peripherals"/>
    <s v="Email search indexing incomplete after migration."/>
    <s v="Email search indexing incomplete after migration. Reported by Tim from Operations."/>
    <b v="0"/>
    <b v="0"/>
  </r>
  <r>
    <n v="655"/>
    <d v="2024-02-15T08:51:21"/>
    <d v="2024-02-15T16:21:16"/>
    <x v="590"/>
    <x v="1"/>
    <x v="0"/>
    <x v="3"/>
    <x v="1"/>
    <n v="10"/>
    <s v="Warehouse"/>
    <s v="voice"/>
    <s v="New hire missing access to onboarding portal."/>
    <s v="New hire missing access to onboarding portal. Reported by Lynn from Warehouse."/>
    <b v="1"/>
    <b v="0"/>
  </r>
  <r>
    <n v="656"/>
    <d v="2024-02-15T14:14:49"/>
    <d v="2024-02-15T17:15:21"/>
    <x v="591"/>
    <x v="1"/>
    <x v="0"/>
    <x v="0"/>
    <x v="5"/>
    <n v="5"/>
    <s v="Warehouse"/>
    <s v="endpoint"/>
    <s v="Sales laptop webcam missing from device manager."/>
    <s v="Sales laptop webcam missing from device manager. Reported by Richard from HR."/>
    <b v="0"/>
    <b v="0"/>
  </r>
  <r>
    <n v="657"/>
    <d v="2024-02-15T15:28:28"/>
    <d v="2024-02-15T18:21:08"/>
    <x v="592"/>
    <x v="2"/>
    <x v="0"/>
    <x v="0"/>
    <x v="6"/>
    <n v="8"/>
    <s v="HR"/>
    <s v="identity"/>
    <s v="Warehouse scanner will not sync picks to WMS."/>
    <s v="Warehouse scanner will not sync picks to WMS. Reported by Charles from Warehouse."/>
    <b v="0"/>
    <b v="0"/>
  </r>
  <r>
    <n v="658"/>
    <d v="2024-02-15T16:52:55"/>
    <d v="2024-02-16T06:59:17"/>
    <x v="593"/>
    <x v="2"/>
    <x v="0"/>
    <x v="3"/>
    <x v="7"/>
    <n v="8"/>
    <s v="IT"/>
    <s v="peripherals"/>
    <s v="Sales laptop webcam missing from device manager."/>
    <s v="Sales laptop webcam missing from device manager. Reported by Crystal from Finance."/>
    <b v="0"/>
    <b v="0"/>
  </r>
  <r>
    <n v="659"/>
    <d v="2024-02-15T18:02:10"/>
    <d v="2024-02-15T21:58:46"/>
    <x v="594"/>
    <x v="2"/>
    <x v="0"/>
    <x v="2"/>
    <x v="2"/>
    <n v="6"/>
    <s v="Warehouse"/>
    <s v="saas"/>
    <s v="Suspicious login alert triggered for finance user."/>
    <s v="Suspicious login alert triggered for finance user. Reported by Brian from Warehouse."/>
    <b v="0"/>
    <b v="0"/>
  </r>
  <r>
    <n v="660"/>
    <d v="2024-02-15T19:52:51"/>
    <d v="2024-02-16T15:15:45"/>
    <x v="595"/>
    <x v="2"/>
    <x v="0"/>
    <x v="2"/>
    <x v="1"/>
    <n v="4"/>
    <s v="Sales"/>
    <s v="voice"/>
    <s v="New Zebra printer not visible to shipping station."/>
    <s v="New Zebra printer not visible to shipping station. Reported by Edward from Operations."/>
    <b v="0"/>
    <b v="0"/>
  </r>
  <r>
    <n v="661"/>
    <d v="2024-02-15T20:41:38"/>
    <d v="2024-02-15T23:39:41"/>
    <x v="596"/>
    <x v="1"/>
    <x v="0"/>
    <x v="3"/>
    <x v="2"/>
    <n v="2"/>
    <s v="Finance"/>
    <s v="saas"/>
    <s v="Procurement team reports ERP attachments missing."/>
    <s v="Procurement team reports ERP attachments missing. Reported by Anna from Finance."/>
    <b v="0"/>
    <b v="0"/>
  </r>
  <r>
    <n v="662"/>
    <d v="2024-02-15T21:47:05"/>
    <d v="2024-02-16T15:28:19"/>
    <x v="597"/>
    <x v="2"/>
    <x v="0"/>
    <x v="1"/>
    <x v="0"/>
    <n v="1"/>
    <s v="Warehouse"/>
    <s v="business-apps"/>
    <s v="Excel add-in blocked by security policy."/>
    <s v="Excel add-in blocked by security policy. Reported by Kevin from Sales."/>
    <b v="0"/>
    <b v="0"/>
  </r>
  <r>
    <n v="663"/>
    <d v="2024-02-15T23:10:23"/>
    <d v="2024-02-16T01:46:41"/>
    <x v="598"/>
    <x v="1"/>
    <x v="0"/>
    <x v="1"/>
    <x v="6"/>
    <n v="5"/>
    <s v="Sales"/>
    <s v="identity"/>
    <s v="Conference room display shows no HDMI signal."/>
    <s v="Conference room display shows no HDMI signal. Reported by Victoria from Warehouse."/>
    <b v="0"/>
    <b v="0"/>
  </r>
  <r>
    <n v="664"/>
    <d v="2024-02-15T23:14:18"/>
    <d v="2024-02-16T06:25:49"/>
    <x v="599"/>
    <x v="1"/>
    <x v="0"/>
    <x v="0"/>
    <x v="1"/>
    <n v="4"/>
    <s v="IT"/>
    <s v="voice"/>
    <s v="Sales laptop webcam missing from device manager."/>
    <s v="Sales laptop webcam missing from device manager. Reported by David from Sales."/>
    <b v="0"/>
    <b v="0"/>
  </r>
  <r>
    <n v="665"/>
    <d v="2024-02-15T23:34:43"/>
    <d v="2024-02-16T13:54:00"/>
    <x v="600"/>
    <x v="2"/>
    <x v="1"/>
    <x v="2"/>
    <x v="4"/>
    <n v="3"/>
    <s v="IT"/>
    <s v="network"/>
    <s v="Citrix launch freezes on black screen."/>
    <s v="Citrix launch freezes on black screen. Reported by Kathy from Finance."/>
    <b v="1"/>
    <b v="0"/>
  </r>
  <r>
    <n v="666"/>
    <d v="2024-02-16T01:35:53"/>
    <d v="2024-02-16T14:09:03"/>
    <x v="601"/>
    <x v="2"/>
    <x v="1"/>
    <x v="2"/>
    <x v="2"/>
    <n v="8"/>
    <s v="IT"/>
    <s v="saas"/>
    <s v="Outlook keeps prompting for password on Mac."/>
    <s v="Outlook keeps prompting for password on Mac. Reported by Catherine from Warehouse."/>
    <b v="1"/>
    <b v="0"/>
  </r>
  <r>
    <n v="667"/>
    <d v="2024-02-16T02:10:28"/>
    <d v="2024-02-16T18:43:04"/>
    <x v="602"/>
    <x v="2"/>
    <x v="0"/>
    <x v="2"/>
    <x v="7"/>
    <n v="2"/>
    <s v="HR"/>
    <s v="peripherals"/>
    <s v="Warehouse scanner will not sync picks to WMS."/>
    <s v="Warehouse scanner will not sync picks to WMS. Reported by Krystal from Finance."/>
    <b v="0"/>
    <b v="0"/>
  </r>
  <r>
    <n v="668"/>
    <d v="2024-02-16T07:15:44"/>
    <d v="2024-02-16T10:22:53"/>
    <x v="603"/>
    <x v="1"/>
    <x v="0"/>
    <x v="2"/>
    <x v="3"/>
    <n v="5"/>
    <s v="Sales"/>
    <s v="security"/>
    <s v="Power BI refresh failing after service account rotation."/>
    <s v="Power BI refresh failing after service account rotation. Reported by Jeremiah from Operations."/>
    <b v="1"/>
    <b v="0"/>
  </r>
  <r>
    <n v="669"/>
    <d v="2024-02-16T07:34:56"/>
    <d v="2024-02-16T10:40:31"/>
    <x v="604"/>
    <x v="1"/>
    <x v="0"/>
    <x v="0"/>
    <x v="3"/>
    <n v="5"/>
    <s v="Finance"/>
    <s v="security"/>
    <s v="ERP role request approved but not applied."/>
    <s v="ERP role request approved but not applied. Reported by Alexandra from Operations."/>
    <b v="0"/>
    <b v="0"/>
  </r>
  <r>
    <n v="670"/>
    <d v="2024-02-16T09:54:16"/>
    <d v="2024-02-17T00:06:23"/>
    <x v="605"/>
    <x v="2"/>
    <x v="0"/>
    <x v="0"/>
    <x v="3"/>
    <n v="10"/>
    <s v="HR"/>
    <s v="security"/>
    <s v="Outlook keeps prompting for password on Mac."/>
    <s v="Outlook keeps prompting for password on Mac. Reported by Shannon from Sales."/>
    <b v="0"/>
    <b v="0"/>
  </r>
  <r>
    <n v="671"/>
    <d v="2024-02-16T11:04:05"/>
    <d v="2024-02-16T11:41:33"/>
    <x v="606"/>
    <x v="0"/>
    <x v="0"/>
    <x v="2"/>
    <x v="6"/>
    <n v="2"/>
    <s v="Sales"/>
    <s v="identity"/>
    <s v="Intune enrollment stuck on compliance evaluation."/>
    <s v="Intune enrollment stuck on compliance evaluation. Reported by Scott from Sales."/>
    <b v="0"/>
    <b v="0"/>
  </r>
  <r>
    <n v="672"/>
    <d v="2024-02-16T17:27:15"/>
    <d v="2024-02-16T23:49:51"/>
    <x v="607"/>
    <x v="1"/>
    <x v="0"/>
    <x v="2"/>
    <x v="6"/>
    <n v="9"/>
    <s v="Operations"/>
    <s v="identity"/>
    <s v="BitLocker recovery key prompt appears at boot."/>
    <s v="BitLocker recovery key prompt appears at boot. Reported by Michelle from Operations."/>
    <b v="0"/>
    <b v="0"/>
  </r>
  <r>
    <n v="673"/>
    <d v="2024-02-16T18:19:51"/>
    <d v="2024-02-16T21:42:58"/>
    <x v="608"/>
    <x v="1"/>
    <x v="0"/>
    <x v="0"/>
    <x v="3"/>
    <n v="7"/>
    <s v="Finance"/>
    <s v="security"/>
    <s v="Phone soft client cannot register after ISP change."/>
    <s v="Phone soft client cannot register after ISP change. Reported by Veronica from Sales."/>
    <b v="0"/>
    <b v="0"/>
  </r>
  <r>
    <n v="674"/>
    <d v="2024-02-17T00:29:45"/>
    <d v="2024-02-17T01:04:29"/>
    <x v="609"/>
    <x v="0"/>
    <x v="0"/>
    <x v="3"/>
    <x v="1"/>
    <n v="8"/>
    <s v="Sales"/>
    <s v="voice"/>
    <s v="Email search indexing incomplete after migration."/>
    <s v="Email search indexing incomplete after migration. Reported by Kevin from Finance."/>
    <b v="0"/>
    <b v="0"/>
  </r>
  <r>
    <n v="675"/>
    <d v="2024-02-17T00:36:11"/>
    <d v="2024-02-17T02:21:01"/>
    <x v="610"/>
    <x v="0"/>
    <x v="0"/>
    <x v="0"/>
    <x v="0"/>
    <n v="8"/>
    <s v="IT"/>
    <s v="business-apps"/>
    <s v="VPN outage reported by remote finance staff."/>
    <s v="VPN outage reported by remote finance staff. Reported by Christine from Finance."/>
    <b v="0"/>
    <b v="0"/>
  </r>
  <r>
    <n v="676"/>
    <d v="2024-02-17T00:36:33"/>
    <d v="2024-02-17T07:43:25"/>
    <x v="611"/>
    <x v="2"/>
    <x v="0"/>
    <x v="2"/>
    <x v="1"/>
    <n v="8"/>
    <s v="Warehouse"/>
    <s v="voice"/>
    <s v="User cannot map shared drive from new laptop."/>
    <s v="User cannot map shared drive from new laptop. Reported by Chelsea from Warehouse."/>
    <b v="1"/>
    <b v="0"/>
  </r>
  <r>
    <n v="677"/>
    <d v="2024-02-17T05:10:07"/>
    <d v="2024-02-17T06:38:49"/>
    <x v="612"/>
    <x v="3"/>
    <x v="0"/>
    <x v="2"/>
    <x v="4"/>
    <n v="5"/>
    <s v="Operations"/>
    <s v="network"/>
    <s v="Printer on dock 4 is stuck in offline state."/>
    <s v="Printer on dock 4 is stuck in offline state. Reported by Jody from HR."/>
    <b v="1"/>
    <b v="0"/>
  </r>
  <r>
    <n v="678"/>
    <d v="2024-02-17T06:25:43"/>
    <d v="2024-02-18T01:39:11"/>
    <x v="613"/>
    <x v="2"/>
    <x v="1"/>
    <x v="1"/>
    <x v="4"/>
    <n v="6"/>
    <s v="Sales"/>
    <s v="network"/>
    <s v="Laptop blue-screened during payroll export."/>
    <s v="Laptop blue-screened during payroll export. Reported by Stacey from Operations."/>
    <b v="0"/>
    <b v="0"/>
  </r>
  <r>
    <n v="679"/>
    <d v="2024-02-17T07:45:34"/>
    <d v="2024-02-18T02:55:28"/>
    <x v="614"/>
    <x v="2"/>
    <x v="0"/>
    <x v="2"/>
    <x v="5"/>
    <n v="4"/>
    <s v="HR"/>
    <s v="endpoint"/>
    <s v="Slack notifications delayed for customer support queue."/>
    <s v="Slack notifications delayed for customer support queue. Reported by Jared from Warehouse."/>
    <b v="0"/>
    <b v="0"/>
  </r>
  <r>
    <n v="680"/>
    <d v="2024-02-17T08:46:46"/>
    <d v="2024-02-17T12:46:05"/>
    <x v="615"/>
    <x v="1"/>
    <x v="0"/>
    <x v="0"/>
    <x v="3"/>
    <n v="10"/>
    <s v="HR"/>
    <s v="security"/>
    <s v="Laptop blue-screened during payroll export."/>
    <s v="Laptop blue-screened during payroll export. Reported by Jason from Sales."/>
    <b v="0"/>
    <b v="0"/>
  </r>
  <r>
    <n v="681"/>
    <d v="2024-02-17T09:31:45"/>
    <d v="2024-02-17T15:13:04"/>
    <x v="616"/>
    <x v="1"/>
    <x v="0"/>
    <x v="0"/>
    <x v="7"/>
    <n v="3"/>
    <s v="Sales"/>
    <s v="peripherals"/>
    <s v="Scanner firmware update broke keyboard wedge mode."/>
    <s v="Scanner firmware update broke keyboard wedge mode. Reported by Donna from HR."/>
    <b v="0"/>
    <b v="0"/>
  </r>
  <r>
    <n v="682"/>
    <d v="2024-02-17T12:40:54"/>
    <d v="2024-02-17T13:19:40"/>
    <x v="617"/>
    <x v="3"/>
    <x v="0"/>
    <x v="0"/>
    <x v="5"/>
    <n v="6"/>
    <s v="HR"/>
    <s v="endpoint"/>
    <s v="Scanner cradle not charging overnight."/>
    <s v="Scanner cradle not charging overnight. Reported by Eric from Finance."/>
    <b v="1"/>
    <b v="0"/>
  </r>
  <r>
    <n v="683"/>
    <d v="2024-02-17T16:39:21"/>
    <d v="2024-02-17T19:43:14"/>
    <x v="618"/>
    <x v="2"/>
    <x v="0"/>
    <x v="0"/>
    <x v="1"/>
    <n v="3"/>
    <s v="Operations"/>
    <s v="voice"/>
    <s v="Warehouse tablet battery draining within one shift."/>
    <s v="Warehouse tablet battery draining within one shift. Reported by Glenn from Operations."/>
    <b v="0"/>
    <b v="0"/>
  </r>
  <r>
    <n v="684"/>
    <d v="2024-02-17T19:52:38"/>
    <d v="2024-02-17T21:24:06"/>
    <x v="619"/>
    <x v="0"/>
    <x v="0"/>
    <x v="2"/>
    <x v="6"/>
    <n v="4"/>
    <s v="Operations"/>
    <s v="identity"/>
    <s v="Citrix launch freezes on black screen."/>
    <s v="Citrix launch freezes on black screen. Reported by Charles from Sales."/>
    <b v="0"/>
    <b v="0"/>
  </r>
  <r>
    <n v="685"/>
    <d v="2024-02-17T22:20:23"/>
    <d v="2024-02-18T03:29:40"/>
    <x v="620"/>
    <x v="1"/>
    <x v="0"/>
    <x v="2"/>
    <x v="3"/>
    <n v="10"/>
    <s v="Warehouse"/>
    <s v="security"/>
    <s v="Scanner cradle not charging overnight."/>
    <s v="Scanner cradle not charging overnight. Reported by Aaron from Warehouse."/>
    <b v="0"/>
    <b v="0"/>
  </r>
  <r>
    <n v="686"/>
    <d v="2024-02-17T22:33:34"/>
    <d v="2024-02-18T00:47:06"/>
    <x v="621"/>
    <x v="2"/>
    <x v="0"/>
    <x v="0"/>
    <x v="5"/>
    <n v="2"/>
    <s v="HR"/>
    <s v="endpoint"/>
    <s v="Service account password expired on integration job."/>
    <s v="Service account password expired on integration job. Reported by Shannon from HR."/>
    <b v="0"/>
    <b v="0"/>
  </r>
  <r>
    <n v="687"/>
    <d v="2024-02-17T23:36:01"/>
    <d v="2024-02-18T06:33:18"/>
    <x v="622"/>
    <x v="1"/>
    <x v="0"/>
    <x v="1"/>
    <x v="3"/>
    <n v="9"/>
    <s v="Finance"/>
    <s v="security"/>
    <s v="ERP purchase order screen timing out for AP team."/>
    <s v="ERP purchase order screen timing out for AP team. Reported by Brittney from Warehouse."/>
    <b v="0"/>
    <b v="0"/>
  </r>
  <r>
    <n v="688"/>
    <d v="2024-02-18T04:08:46"/>
    <d v="2024-02-18T09:19:32"/>
    <x v="623"/>
    <x v="1"/>
    <x v="0"/>
    <x v="0"/>
    <x v="2"/>
    <n v="9"/>
    <s v="Warehouse"/>
    <s v="saas"/>
    <s v="Service account password expired on integration job."/>
    <s v="Service account password expired on integration job. Reported by Kelly from Sales."/>
    <b v="0"/>
    <b v="0"/>
  </r>
  <r>
    <n v="689"/>
    <d v="2024-02-18T07:53:48"/>
    <d v="2024-02-18T22:50:38"/>
    <x v="624"/>
    <x v="2"/>
    <x v="0"/>
    <x v="3"/>
    <x v="5"/>
    <n v="4"/>
    <s v="HR"/>
    <s v="endpoint"/>
    <s v="Warehouse tablet battery draining within one shift."/>
    <s v="Warehouse tablet battery draining within one shift. Reported by Jesse from HR."/>
    <b v="0"/>
    <b v="0"/>
  </r>
  <r>
    <n v="690"/>
    <d v="2024-02-18T08:03:06"/>
    <d v="2024-02-18T09:05:52"/>
    <x v="625"/>
    <x v="0"/>
    <x v="0"/>
    <x v="2"/>
    <x v="6"/>
    <n v="4"/>
    <s v="Sales"/>
    <s v="identity"/>
    <s v="Spam burst hit shared support inbox this morning."/>
    <s v="Spam burst hit shared support inbox this morning. Reported by Jasmine from HR."/>
    <b v="0"/>
    <b v="0"/>
  </r>
  <r>
    <n v="691"/>
    <d v="2024-02-18T10:01:55"/>
    <d v="2024-02-18T10:46:50"/>
    <x v="626"/>
    <x v="0"/>
    <x v="0"/>
    <x v="2"/>
    <x v="0"/>
    <n v="1"/>
    <s v="Sales"/>
    <s v="business-apps"/>
    <s v="Phone soft client cannot register after ISP change."/>
    <s v="Phone soft client cannot register after ISP change. Reported by Jacqueline from Finance."/>
    <b v="0"/>
    <b v="0"/>
  </r>
  <r>
    <n v="692"/>
    <d v="2024-02-18T12:57:56"/>
    <d v="2024-02-18T16:00:42"/>
    <x v="627"/>
    <x v="1"/>
    <x v="1"/>
    <x v="0"/>
    <x v="5"/>
    <n v="8"/>
    <s v="Operations"/>
    <s v="endpoint"/>
    <s v="Voicemail transcription unavailable in mobile app."/>
    <s v="Voicemail transcription unavailable in mobile app. Reported by Shawn from HR."/>
    <b v="0"/>
    <b v="0"/>
  </r>
  <r>
    <n v="693"/>
    <d v="2024-02-18T14:51:25"/>
    <d v="2024-02-19T03:36:26"/>
    <x v="628"/>
    <x v="2"/>
    <x v="0"/>
    <x v="2"/>
    <x v="2"/>
    <n v="7"/>
    <s v="Sales"/>
    <s v="saas"/>
    <s v="Spam burst hit shared support inbox this morning."/>
    <s v="Spam burst hit shared support inbox this morning. Reported by Grace from Sales."/>
    <b v="0"/>
    <b v="0"/>
  </r>
  <r>
    <n v="694"/>
    <d v="2024-02-18T15:59:38"/>
    <d v="2024-02-18T22:55:14"/>
    <x v="629"/>
    <x v="2"/>
    <x v="0"/>
    <x v="2"/>
    <x v="1"/>
    <n v="10"/>
    <s v="Finance"/>
    <s v="voice"/>
    <s v="Printer on dock 4 is stuck in offline state."/>
    <s v="Printer on dock 4 is stuck in offline state. Reported by Sandra from Finance."/>
    <b v="0"/>
    <b v="0"/>
  </r>
  <r>
    <n v="695"/>
    <d v="2024-02-18T16:15:41"/>
    <d v="2024-02-19T04:27:56"/>
    <x v="630"/>
    <x v="2"/>
    <x v="1"/>
    <x v="3"/>
    <x v="1"/>
    <n v="3"/>
    <s v="IT"/>
    <s v="voice"/>
    <s v="Email search indexing incomplete after migration."/>
    <s v="Email search indexing incomplete after migration. Reported by Kristin from Operations."/>
    <b v="0"/>
    <b v="0"/>
  </r>
  <r>
    <n v="696"/>
    <d v="2024-02-18T16:17:22"/>
    <d v="2024-02-19T02:26:23"/>
    <x v="631"/>
    <x v="2"/>
    <x v="0"/>
    <x v="0"/>
    <x v="2"/>
    <n v="4"/>
    <s v="Warehouse"/>
    <s v="saas"/>
    <s v="Shared mailbox permissions disappeared overnight."/>
    <s v="Shared mailbox permissions disappeared overnight. Reported by Colleen from HR."/>
    <b v="0"/>
    <b v="0"/>
  </r>
  <r>
    <n v="697"/>
    <d v="2024-02-18T16:35:03"/>
    <d v="2024-02-18T17:36:04"/>
    <x v="632"/>
    <x v="3"/>
    <x v="0"/>
    <x v="2"/>
    <x v="7"/>
    <n v="7"/>
    <s v="Sales"/>
    <s v="peripherals"/>
    <s v="Distribution center users cannot reach file server."/>
    <s v="Distribution center users cannot reach file server. Reported by Donna from Finance."/>
    <b v="1"/>
    <b v="0"/>
  </r>
  <r>
    <n v="698"/>
    <d v="2024-02-18T17:22:02"/>
    <d v="2024-02-18T21:37:21"/>
    <x v="633"/>
    <x v="1"/>
    <x v="0"/>
    <x v="1"/>
    <x v="3"/>
    <n v="4"/>
    <s v="Finance"/>
    <s v="security"/>
    <s v="New contractor needs temporary access to WMS."/>
    <s v="New contractor needs temporary access to WMS. Reported by Sarah from Finance."/>
    <b v="0"/>
    <b v="0"/>
  </r>
  <r>
    <n v="699"/>
    <d v="2024-02-18T21:56:13"/>
    <d v="2024-02-18T23:02:09"/>
    <x v="634"/>
    <x v="0"/>
    <x v="0"/>
    <x v="2"/>
    <x v="0"/>
    <n v="4"/>
    <s v="HR"/>
    <s v="business-apps"/>
    <s v="Citrix launch freezes on black screen."/>
    <s v="Citrix launch freezes on black screen. Reported by Ronald from Operations."/>
    <b v="0"/>
    <b v="0"/>
  </r>
  <r>
    <n v="700"/>
    <d v="2024-02-18T22:01:09"/>
    <d v="2024-02-19T02:13:08"/>
    <x v="635"/>
    <x v="2"/>
    <x v="0"/>
    <x v="2"/>
    <x v="5"/>
    <n v="2"/>
    <s v="IT"/>
    <s v="endpoint"/>
    <s v="Scanner firmware update broke keyboard wedge mode."/>
    <s v="Scanner firmware update broke keyboard wedge mode. Reported by Amy from Warehouse."/>
    <b v="0"/>
    <b v="0"/>
  </r>
  <r>
    <n v="701"/>
    <d v="2024-02-19T01:22:25"/>
    <d v="2024-02-19T07:13:12"/>
    <x v="636"/>
    <x v="2"/>
    <x v="0"/>
    <x v="3"/>
    <x v="3"/>
    <n v="10"/>
    <s v="Operations"/>
    <s v="security"/>
    <s v="Printer on dock 4 is stuck in offline state."/>
    <s v="Printer on dock 4 is stuck in offline state. Reported by Deborah from Sales."/>
    <b v="0"/>
    <b v="0"/>
  </r>
  <r>
    <n v="702"/>
    <d v="2024-02-19T02:30:20"/>
    <d v="2024-02-19T05:07:47"/>
    <x v="637"/>
    <x v="1"/>
    <x v="0"/>
    <x v="2"/>
    <x v="6"/>
    <n v="5"/>
    <s v="HR"/>
    <s v="identity"/>
    <s v="VPN fails only for users in Phoenix office."/>
    <s v="VPN fails only for users in Phoenix office. Reported by Rebekah from Operations."/>
    <b v="0"/>
    <b v="0"/>
  </r>
  <r>
    <n v="703"/>
    <d v="2024-02-19T05:26:36"/>
    <d v="2024-02-19T16:59:00"/>
    <x v="638"/>
    <x v="2"/>
    <x v="0"/>
    <x v="0"/>
    <x v="0"/>
    <n v="8"/>
    <s v="Warehouse"/>
    <s v="business-apps"/>
    <s v="User cannot map shared drive from new laptop."/>
    <s v="User cannot map shared drive from new laptop. Reported by Margaret from Warehouse."/>
    <b v="1"/>
    <b v="0"/>
  </r>
  <r>
    <n v="704"/>
    <d v="2024-02-19T06:05:40"/>
    <d v="2024-02-19T13:58:55"/>
    <x v="639"/>
    <x v="1"/>
    <x v="0"/>
    <x v="3"/>
    <x v="3"/>
    <n v="7"/>
    <s v="IT"/>
    <s v="security"/>
    <s v="Scanner cradle not charging overnight."/>
    <s v="Scanner cradle not charging overnight. Reported by Charles from Sales."/>
    <b v="0"/>
    <b v="0"/>
  </r>
  <r>
    <n v="705"/>
    <d v="2024-02-19T06:45:37"/>
    <d v="2024-02-19T09:44:23"/>
    <x v="640"/>
    <x v="0"/>
    <x v="0"/>
    <x v="0"/>
    <x v="0"/>
    <n v="6"/>
    <s v="Warehouse"/>
    <s v="business-apps"/>
    <s v="Service account password expired on integration job."/>
    <s v="Service account password expired on integration job. Reported by Gabriel from HR."/>
    <b v="0"/>
    <b v="0"/>
  </r>
  <r>
    <n v="706"/>
    <d v="2024-02-19T08:40:12"/>
    <d v="2024-02-19T15:49:51"/>
    <x v="641"/>
    <x v="1"/>
    <x v="0"/>
    <x v="1"/>
    <x v="4"/>
    <n v="4"/>
    <s v="HR"/>
    <s v="network"/>
    <s v="VPN disconnects every 15 minutes on hotel Wi-Fi."/>
    <s v="VPN disconnects every 15 minutes on hotel Wi-Fi. Reported by Kyle from Operations."/>
    <b v="0"/>
    <b v="0"/>
  </r>
  <r>
    <n v="707"/>
    <d v="2024-02-19T08:48:58"/>
    <d v="2024-02-19T19:01:31"/>
    <x v="10"/>
    <x v="2"/>
    <x v="2"/>
    <x v="0"/>
    <x v="2"/>
    <n v="4"/>
    <s v="Sales"/>
    <s v="saas"/>
    <s v="Email signatures disappeared for sales team."/>
    <s v="Email signatures disappeared for sales team. Reported by Kaitlyn from Warehouse."/>
    <b v="0"/>
    <b v="0"/>
  </r>
  <r>
    <n v="708"/>
    <d v="2024-02-19T09:58:31"/>
    <d v="2024-02-19T13:11:17"/>
    <x v="642"/>
    <x v="1"/>
    <x v="1"/>
    <x v="0"/>
    <x v="2"/>
    <n v="5"/>
    <s v="Operations"/>
    <s v="saas"/>
    <s v="Outlook keeps prompting for password on Mac."/>
    <s v="Outlook keeps prompting for password on Mac. Reported by Ashley from Warehouse."/>
    <b v="0"/>
    <b v="0"/>
  </r>
  <r>
    <n v="709"/>
    <d v="2024-02-19T12:20:15"/>
    <d v="2024-02-19T12:57:04"/>
    <x v="643"/>
    <x v="3"/>
    <x v="1"/>
    <x v="0"/>
    <x v="7"/>
    <n v="2"/>
    <s v="Operations"/>
    <s v="peripherals"/>
    <s v="Conference room display shows no HDMI signal."/>
    <s v="Conference room display shows no HDMI signal. Reported by Keith from Warehouse."/>
    <b v="1"/>
    <b v="0"/>
  </r>
  <r>
    <n v="710"/>
    <d v="2024-02-19T13:12:32"/>
    <d v="2024-02-20T00:34:35"/>
    <x v="10"/>
    <x v="2"/>
    <x v="3"/>
    <x v="1"/>
    <x v="1"/>
    <n v="6"/>
    <s v="HR"/>
    <s v="voice"/>
    <s v="M365 outage causing login failures across offices."/>
    <s v="M365 outage causing login failures across offices. Reported by David from Finance."/>
    <b v="0"/>
    <b v="0"/>
  </r>
  <r>
    <n v="711"/>
    <d v="2024-02-19T14:22:17"/>
    <d v="2024-02-19T22:07:44"/>
    <x v="644"/>
    <x v="1"/>
    <x v="1"/>
    <x v="0"/>
    <x v="3"/>
    <n v="1"/>
    <s v="IT"/>
    <s v="security"/>
    <s v="MFA push not arriving on replacement phone."/>
    <s v="MFA push not arriving on replacement phone. Reported by Haley from HR."/>
    <b v="0"/>
    <b v="0"/>
  </r>
  <r>
    <n v="712"/>
    <d v="2024-02-19T15:14:46"/>
    <d v="2024-02-19T17:11:43"/>
    <x v="645"/>
    <x v="1"/>
    <x v="1"/>
    <x v="0"/>
    <x v="4"/>
    <n v="3"/>
    <s v="Finance"/>
    <s v="network"/>
    <s v="Teams calls dropping audio after two minutes."/>
    <s v="Teams calls dropping audio after two minutes. Reported by Holly from Warehouse."/>
    <b v="0"/>
    <b v="0"/>
  </r>
  <r>
    <n v="713"/>
    <d v="2024-02-19T15:15:14"/>
    <d v="2024-02-19T21:26:27"/>
    <x v="646"/>
    <x v="2"/>
    <x v="0"/>
    <x v="0"/>
    <x v="6"/>
    <n v="7"/>
    <s v="HR"/>
    <s v="identity"/>
    <s v="Power BI refresh failing after service account rotation."/>
    <s v="Power BI refresh failing after service account rotation. Reported by Sherri from Warehouse."/>
    <b v="0"/>
    <b v="0"/>
  </r>
  <r>
    <n v="714"/>
    <d v="2024-02-19T16:52:23"/>
    <d v="2024-02-19T19:19:19"/>
    <x v="647"/>
    <x v="1"/>
    <x v="0"/>
    <x v="0"/>
    <x v="2"/>
    <n v="1"/>
    <s v="Operations"/>
    <s v="saas"/>
    <s v="Warehouse tablet battery draining within one shift."/>
    <s v="Warehouse tablet battery draining within one shift. Reported by Vincent from Operations."/>
    <b v="1"/>
    <b v="0"/>
  </r>
  <r>
    <n v="715"/>
    <d v="2024-02-19T17:02:28"/>
    <d v="2024-02-19T21:49:54"/>
    <x v="648"/>
    <x v="1"/>
    <x v="0"/>
    <x v="0"/>
    <x v="3"/>
    <n v="1"/>
    <s v="Sales"/>
    <s v="security"/>
    <s v="Slack notifications delayed for customer support queue."/>
    <s v="Slack notifications delayed for customer support queue. Reported by Troy from Sales."/>
    <b v="0"/>
    <b v="0"/>
  </r>
  <r>
    <n v="716"/>
    <d v="2024-02-19T17:04:04"/>
    <d v="2024-02-19T18:18:35"/>
    <x v="10"/>
    <x v="0"/>
    <x v="3"/>
    <x v="3"/>
    <x v="7"/>
    <n v="3"/>
    <s v="Finance"/>
    <s v="peripherals"/>
    <s v="Teams channels inaccessible during tenant incident."/>
    <s v="Teams channels inaccessible during tenant incident. Reported by Christopher from Sales."/>
    <b v="0"/>
    <b v="0"/>
  </r>
  <r>
    <n v="717"/>
    <d v="2024-02-19T17:13:15"/>
    <d v="2024-02-19T22:16:45"/>
    <x v="649"/>
    <x v="2"/>
    <x v="0"/>
    <x v="1"/>
    <x v="4"/>
    <n v="8"/>
    <s v="IT"/>
    <s v="network"/>
    <s v="CEO calendar delegate can no longer edit events."/>
    <s v="CEO calendar delegate can no longer edit events. Reported by Bill from Sales."/>
    <b v="0"/>
    <b v="0"/>
  </r>
  <r>
    <n v="718"/>
    <d v="2024-02-19T18:48:54"/>
    <d v="2024-02-19T19:58:58"/>
    <x v="650"/>
    <x v="1"/>
    <x v="0"/>
    <x v="0"/>
    <x v="6"/>
    <n v="9"/>
    <s v="Warehouse"/>
    <s v="identity"/>
    <s v="Intune enrollment stuck on compliance evaluation."/>
    <s v="Intune enrollment stuck on compliance evaluation. Reported by Ryan from HR."/>
    <b v="0"/>
    <b v="0"/>
  </r>
  <r>
    <n v="719"/>
    <d v="2024-02-19T19:43:13"/>
    <d v="2024-02-20T02:37:43"/>
    <x v="651"/>
    <x v="2"/>
    <x v="0"/>
    <x v="0"/>
    <x v="4"/>
    <n v="1"/>
    <s v="Finance"/>
    <s v="network"/>
    <s v="Barcode labels printing with incorrect dimensions."/>
    <s v="Barcode labels printing with incorrect dimensions. Reported by Marcus from HR."/>
    <b v="0"/>
    <b v="0"/>
  </r>
  <r>
    <n v="720"/>
    <d v="2024-02-19T22:51:13"/>
    <d v="2024-02-20T07:39:45"/>
    <x v="652"/>
    <x v="2"/>
    <x v="0"/>
    <x v="0"/>
    <x v="7"/>
    <n v="3"/>
    <s v="HR"/>
    <s v="peripherals"/>
    <s v="Sales laptop webcam missing from device manager."/>
    <s v="Sales laptop webcam missing from device manager. Reported by John from Finance."/>
    <b v="1"/>
    <b v="0"/>
  </r>
  <r>
    <n v="721"/>
    <d v="2024-02-19T23:53:38"/>
    <d v="2024-02-20T00:53:14"/>
    <x v="653"/>
    <x v="3"/>
    <x v="0"/>
    <x v="0"/>
    <x v="7"/>
    <n v="1"/>
    <s v="IT"/>
    <s v="peripherals"/>
    <s v="Warehouse RF gun drops Wi-Fi in aisle B."/>
    <s v="Warehouse RF gun drops Wi-Fi in aisle B. Reported by Christopher from Operations."/>
    <b v="1"/>
    <b v="0"/>
  </r>
  <r>
    <n v="722"/>
    <d v="2024-02-20T00:06:05"/>
    <d v="2024-02-20T11:38:58"/>
    <x v="654"/>
    <x v="2"/>
    <x v="0"/>
    <x v="0"/>
    <x v="2"/>
    <n v="1"/>
    <s v="HR"/>
    <s v="saas"/>
    <s v="Intune enrollment stuck on compliance evaluation."/>
    <s v="Intune enrollment stuck on compliance evaluation. Reported by Suzanne from Sales."/>
    <b v="0"/>
    <b v="0"/>
  </r>
  <r>
    <n v="723"/>
    <d v="2024-02-20T01:17:05"/>
    <d v="2024-02-20T04:53:01"/>
    <x v="655"/>
    <x v="2"/>
    <x v="0"/>
    <x v="3"/>
    <x v="4"/>
    <n v="10"/>
    <s v="Operations"/>
    <s v="network"/>
    <s v="Shared mailbox permissions disappeared overnight."/>
    <s v="Shared mailbox permissions disappeared overnight. Reported by Mary from Operations."/>
    <b v="0"/>
    <b v="0"/>
  </r>
  <r>
    <n v="724"/>
    <d v="2024-02-20T05:52:42"/>
    <d v="2024-02-20T18:59:47"/>
    <x v="656"/>
    <x v="2"/>
    <x v="0"/>
    <x v="0"/>
    <x v="5"/>
    <n v="5"/>
    <s v="HR"/>
    <s v="endpoint"/>
    <s v="New hire missing access to onboarding portal."/>
    <s v="New hire missing access to onboarding portal. Reported by Barbara from Warehouse."/>
    <b v="0"/>
    <b v="0"/>
  </r>
  <r>
    <n v="725"/>
    <d v="2024-02-20T06:03:04"/>
    <d v="2024-02-20T08:40:52"/>
    <x v="657"/>
    <x v="1"/>
    <x v="0"/>
    <x v="2"/>
    <x v="1"/>
    <n v="8"/>
    <s v="Warehouse"/>
    <s v="voice"/>
    <s v="Distribution center users cannot reach file server."/>
    <s v="Distribution center users cannot reach file server. Reported by Stephanie from HR."/>
    <b v="0"/>
    <b v="0"/>
  </r>
  <r>
    <n v="726"/>
    <d v="2024-02-20T06:24:41"/>
    <d v="2024-02-20T12:02:50"/>
    <x v="658"/>
    <x v="1"/>
    <x v="1"/>
    <x v="1"/>
    <x v="2"/>
    <n v="7"/>
    <s v="Warehouse"/>
    <s v="saas"/>
    <s v="Service account password expired on integration job."/>
    <s v="Service account password expired on integration job. Reported by Yvonne from Sales."/>
    <b v="0"/>
    <b v="0"/>
  </r>
  <r>
    <n v="727"/>
    <d v="2024-02-20T10:13:38"/>
    <d v="2024-02-21T03:33:57"/>
    <x v="659"/>
    <x v="2"/>
    <x v="0"/>
    <x v="0"/>
    <x v="3"/>
    <n v="5"/>
    <s v="IT"/>
    <s v="security"/>
    <s v="Payroll batch job missed scheduled overnight window."/>
    <s v="Payroll batch job missed scheduled overnight window. Reported by Emily from HR."/>
    <b v="0"/>
    <b v="0"/>
  </r>
  <r>
    <n v="728"/>
    <d v="2024-02-20T16:42:05"/>
    <d v="2024-02-20T22:14:40"/>
    <x v="660"/>
    <x v="2"/>
    <x v="0"/>
    <x v="1"/>
    <x v="2"/>
    <n v="8"/>
    <s v="IT"/>
    <s v="saas"/>
    <s v="Mailbox forwarding rule recreated after removal."/>
    <s v="Mailbox forwarding rule recreated after removal. Reported by Joseph from Operations."/>
    <b v="0"/>
    <b v="0"/>
  </r>
  <r>
    <n v="729"/>
    <d v="2024-02-20T17:01:48"/>
    <d v="2024-02-21T07:09:35"/>
    <x v="661"/>
    <x v="2"/>
    <x v="0"/>
    <x v="1"/>
    <x v="0"/>
    <n v="3"/>
    <s v="Warehouse"/>
    <s v="business-apps"/>
    <s v="Warehouse tablet battery draining within one shift."/>
    <s v="Warehouse tablet battery draining within one shift. Reported by Billy from Finance."/>
    <b v="0"/>
    <b v="0"/>
  </r>
  <r>
    <n v="730"/>
    <d v="2024-02-20T17:07:50"/>
    <d v="2024-02-20T18:19:34"/>
    <x v="662"/>
    <x v="1"/>
    <x v="0"/>
    <x v="0"/>
    <x v="7"/>
    <n v="5"/>
    <s v="IT"/>
    <s v="peripherals"/>
    <s v="Email search indexing incomplete after migration."/>
    <s v="Email search indexing incomplete after migration. Reported by Katelyn from HR."/>
    <b v="1"/>
    <b v="0"/>
  </r>
  <r>
    <n v="731"/>
    <d v="2024-02-20T18:28:09"/>
    <d v="2024-02-21T01:00:03"/>
    <x v="663"/>
    <x v="1"/>
    <x v="0"/>
    <x v="1"/>
    <x v="4"/>
    <n v="4"/>
    <s v="Finance"/>
    <s v="network"/>
    <s v="Shared mailbox permissions disappeared overnight."/>
    <s v="Shared mailbox permissions disappeared overnight. Reported by Thomas from HR."/>
    <b v="1"/>
    <b v="0"/>
  </r>
  <r>
    <n v="732"/>
    <d v="2024-02-20T19:44:48"/>
    <d v="2024-02-21T00:25:10"/>
    <x v="664"/>
    <x v="1"/>
    <x v="1"/>
    <x v="0"/>
    <x v="1"/>
    <n v="6"/>
    <s v="Warehouse"/>
    <s v="voice"/>
    <s v="Suspicious login alert triggered for finance user."/>
    <s v="Suspicious login alert triggered for finance user. Reported by Denise from Finance."/>
    <b v="0"/>
    <b v="0"/>
  </r>
  <r>
    <n v="733"/>
    <d v="2024-02-20T21:16:56"/>
    <d v="2024-02-21T08:31:59"/>
    <x v="665"/>
    <x v="2"/>
    <x v="0"/>
    <x v="0"/>
    <x v="2"/>
    <n v="3"/>
    <s v="HR"/>
    <s v="saas"/>
    <s v="Voicemail transcription unavailable in mobile app."/>
    <s v="Voicemail transcription unavailable in mobile app. Reported by Sabrina from Operations."/>
    <b v="0"/>
    <b v="0"/>
  </r>
  <r>
    <n v="734"/>
    <d v="2024-02-20T23:05:51"/>
    <d v="2024-02-21T17:11:21"/>
    <x v="666"/>
    <x v="2"/>
    <x v="1"/>
    <x v="1"/>
    <x v="3"/>
    <n v="8"/>
    <s v="Sales"/>
    <s v="security"/>
    <s v="Password reset loop continues after successful change."/>
    <s v="Password reset loop continues after successful change. Reported by Howard from Finance."/>
    <b v="0"/>
    <b v="0"/>
  </r>
  <r>
    <n v="735"/>
    <d v="2024-02-20T23:22:17"/>
    <d v="2024-02-21T05:42:08"/>
    <x v="667"/>
    <x v="2"/>
    <x v="0"/>
    <x v="1"/>
    <x v="1"/>
    <n v="9"/>
    <s v="Sales"/>
    <s v="voice"/>
    <s v="Label printer feeds blank stock after maintenance."/>
    <s v="Label printer feeds blank stock after maintenance. Reported by Brenda from Finance."/>
    <b v="0"/>
    <b v="0"/>
  </r>
  <r>
    <n v="736"/>
    <d v="2024-02-20T23:54:25"/>
    <d v="2024-02-21T02:59:57"/>
    <x v="668"/>
    <x v="1"/>
    <x v="0"/>
    <x v="0"/>
    <x v="2"/>
    <n v="9"/>
    <s v="Finance"/>
    <s v="saas"/>
    <s v="Citrix launch freezes on black screen."/>
    <s v="Citrix launch freezes on black screen. Reported by Cynthia from Warehouse."/>
    <b v="0"/>
    <b v="0"/>
  </r>
  <r>
    <n v="737"/>
    <d v="2024-02-20T23:55:35"/>
    <d v="2024-02-21T10:59:28"/>
    <x v="669"/>
    <x v="2"/>
    <x v="0"/>
    <x v="0"/>
    <x v="5"/>
    <n v="9"/>
    <s v="HR"/>
    <s v="endpoint"/>
    <s v="Single sign-on to HRIS returns invalid relay state."/>
    <s v="Single sign-on to HRIS returns invalid relay state. Reported by Travis from Finance."/>
    <b v="0"/>
    <b v="0"/>
  </r>
  <r>
    <n v="738"/>
    <d v="2024-02-21T02:08:14"/>
    <d v="2024-02-21T04:51:05"/>
    <x v="670"/>
    <x v="0"/>
    <x v="0"/>
    <x v="3"/>
    <x v="1"/>
    <n v="7"/>
    <s v="Operations"/>
    <s v="voice"/>
    <s v="Outlook keeps prompting for password on Mac."/>
    <s v="Outlook keeps prompting for password on Mac. Reported by Christopher from HR."/>
    <b v="0"/>
    <b v="0"/>
  </r>
  <r>
    <n v="739"/>
    <d v="2024-02-21T02:43:49"/>
    <d v="2024-02-21T05:59:00"/>
    <x v="671"/>
    <x v="1"/>
    <x v="0"/>
    <x v="2"/>
    <x v="3"/>
    <n v="8"/>
    <s v="Finance"/>
    <s v="security"/>
    <s v="Slack notifications delayed for customer support queue."/>
    <s v="Slack notifications delayed for customer support queue. Reported by Michael from Sales."/>
    <b v="0"/>
    <b v="0"/>
  </r>
  <r>
    <n v="740"/>
    <d v="2024-02-21T04:40:51"/>
    <d v="2024-02-21T10:33:52"/>
    <x v="672"/>
    <x v="1"/>
    <x v="0"/>
    <x v="2"/>
    <x v="3"/>
    <n v="7"/>
    <s v="IT"/>
    <s v="security"/>
    <s v="Password reset loop continues after successful change."/>
    <s v="Password reset loop continues after successful change. Reported by Mathew from HR."/>
    <b v="1"/>
    <b v="0"/>
  </r>
  <r>
    <n v="741"/>
    <d v="2024-02-21T06:47:16"/>
    <d v="2024-02-21T09:59:40"/>
    <x v="10"/>
    <x v="1"/>
    <x v="2"/>
    <x v="2"/>
    <x v="1"/>
    <n v="10"/>
    <s v="IT"/>
    <s v="voice"/>
    <s v="ERP role request approved but not applied."/>
    <s v="ERP role request approved but not applied. Reported by Elizabeth from Operations."/>
    <b v="0"/>
    <b v="0"/>
  </r>
  <r>
    <n v="742"/>
    <d v="2024-02-21T11:36:43"/>
    <d v="2024-02-21T23:11:10"/>
    <x v="673"/>
    <x v="2"/>
    <x v="0"/>
    <x v="2"/>
    <x v="6"/>
    <n v="1"/>
    <s v="Operations"/>
    <s v="identity"/>
    <s v="VPN client update failed with rollback error."/>
    <s v="VPN client update failed with rollback error. Reported by Mia from Sales."/>
    <b v="0"/>
    <b v="0"/>
  </r>
  <r>
    <n v="743"/>
    <d v="2024-02-21T20:47:45"/>
    <d v="2024-02-21T22:29:46"/>
    <x v="10"/>
    <x v="1"/>
    <x v="2"/>
    <x v="2"/>
    <x v="1"/>
    <n v="2"/>
    <s v="Finance"/>
    <s v="voice"/>
    <s v="Citrix launch freezes on black screen."/>
    <s v="Citrix launch freezes on black screen. Reported by Mark from Warehouse."/>
    <b v="0"/>
    <b v="0"/>
  </r>
  <r>
    <n v="744"/>
    <d v="2024-02-22T00:46:06"/>
    <d v="2024-02-22T01:47:02"/>
    <x v="674"/>
    <x v="0"/>
    <x v="0"/>
    <x v="0"/>
    <x v="6"/>
    <n v="5"/>
    <s v="Finance"/>
    <s v="identity"/>
    <s v="Scanner cradle not charging overnight."/>
    <s v="Scanner cradle not charging overnight. Reported by Heather from Sales."/>
    <b v="0"/>
    <b v="0"/>
  </r>
  <r>
    <n v="745"/>
    <d v="2024-02-22T03:30:18"/>
    <d v="2024-02-22T11:29:38"/>
    <x v="675"/>
    <x v="1"/>
    <x v="0"/>
    <x v="0"/>
    <x v="5"/>
    <n v="7"/>
    <s v="Finance"/>
    <s v="endpoint"/>
    <s v="Customer portal SSO redirects to blank page."/>
    <s v="Customer portal SSO redirects to blank page. Reported by Keith from HR."/>
    <b v="0"/>
    <b v="0"/>
  </r>
  <r>
    <n v="746"/>
    <d v="2024-02-22T06:09:46"/>
    <d v="2024-02-22T10:49:30"/>
    <x v="676"/>
    <x v="1"/>
    <x v="0"/>
    <x v="2"/>
    <x v="5"/>
    <n v="9"/>
    <s v="Finance"/>
    <s v="endpoint"/>
    <s v="Customer portal SSO redirects to blank page."/>
    <s v="Customer portal SSO redirects to blank page. Reported by Sierra from HR."/>
    <b v="0"/>
    <b v="0"/>
  </r>
  <r>
    <n v="747"/>
    <d v="2024-02-22T06:12:24"/>
    <d v="2024-02-22T19:02:33"/>
    <x v="677"/>
    <x v="2"/>
    <x v="1"/>
    <x v="1"/>
    <x v="6"/>
    <n v="1"/>
    <s v="Warehouse"/>
    <s v="identity"/>
    <s v="Single sign-on to HRIS returns invalid relay state."/>
    <s v="Single sign-on to HRIS returns invalid relay state. Reported by Lisa from Finance."/>
    <b v="0"/>
    <b v="0"/>
  </r>
  <r>
    <n v="748"/>
    <d v="2024-02-22T09:41:56"/>
    <d v="2024-02-22T17:02:41"/>
    <x v="10"/>
    <x v="1"/>
    <x v="3"/>
    <x v="1"/>
    <x v="6"/>
    <n v="2"/>
    <s v="Warehouse"/>
    <s v="identity"/>
    <s v="Procurement team reports ERP attachments missing."/>
    <s v="Procurement team reports ERP attachments missing. Reported by Andrea from HR."/>
    <b v="0"/>
    <b v="0"/>
  </r>
  <r>
    <n v="749"/>
    <d v="2024-02-22T14:56:12"/>
    <d v="2024-02-22T22:04:42"/>
    <x v="678"/>
    <x v="1"/>
    <x v="0"/>
    <x v="2"/>
    <x v="5"/>
    <n v="9"/>
    <s v="HR"/>
    <s v="endpoint"/>
    <s v="Teams channels inaccessible during tenant incident."/>
    <s v="Teams channels inaccessible during tenant incident. Reported by Shawn from Finance."/>
    <b v="0"/>
    <b v="0"/>
  </r>
  <r>
    <n v="750"/>
    <d v="2024-02-22T15:17:58"/>
    <d v="2024-02-22T17:59:32"/>
    <x v="679"/>
    <x v="0"/>
    <x v="0"/>
    <x v="2"/>
    <x v="2"/>
    <n v="4"/>
    <s v="Finance"/>
    <s v="saas"/>
    <s v="VPN outage reported by remote finance staff."/>
    <s v="VPN outage reported by remote finance staff. Reported by Leonard from HR."/>
    <b v="0"/>
    <b v="0"/>
  </r>
  <r>
    <n v="751"/>
    <d v="2024-02-22T18:34:41"/>
    <d v="2024-02-23T10:45:27"/>
    <x v="680"/>
    <x v="2"/>
    <x v="0"/>
    <x v="0"/>
    <x v="4"/>
    <n v="1"/>
    <s v="IT"/>
    <s v="network"/>
    <s v="Teams meeting room camera flickers after restart."/>
    <s v="Teams meeting room camera flickers after restart. Reported by Marcus from Sales."/>
    <b v="0"/>
    <b v="0"/>
  </r>
  <r>
    <n v="752"/>
    <d v="2024-02-22T19:24:01"/>
    <d v="2024-02-23T00:50:43"/>
    <x v="681"/>
    <x v="1"/>
    <x v="0"/>
    <x v="1"/>
    <x v="4"/>
    <n v="7"/>
    <s v="IT"/>
    <s v="network"/>
    <s v="Email quarantine released but message still missing."/>
    <s v="Email quarantine released but message still missing. Reported by Tara from Finance."/>
    <b v="0"/>
    <b v="0"/>
  </r>
  <r>
    <n v="753"/>
    <d v="2024-02-22T21:08:02"/>
    <d v="2024-02-22T22:11:37"/>
    <x v="682"/>
    <x v="1"/>
    <x v="0"/>
    <x v="3"/>
    <x v="5"/>
    <n v="9"/>
    <s v="HR"/>
    <s v="endpoint"/>
    <s v="MFA push not arriving on replacement phone."/>
    <s v="MFA push not arriving on replacement phone. Reported by Richard from Finance."/>
    <b v="0"/>
    <b v="0"/>
  </r>
  <r>
    <n v="754"/>
    <d v="2024-02-22T21:53:47"/>
    <d v="2024-02-22T23:12:08"/>
    <x v="683"/>
    <x v="1"/>
    <x v="0"/>
    <x v="1"/>
    <x v="1"/>
    <n v="10"/>
    <s v="IT"/>
    <s v="voice"/>
    <s v="Voicemail transcription unavailable in mobile app."/>
    <s v="Voicemail transcription unavailable in mobile app. Reported by Xavier from Warehouse."/>
    <b v="0"/>
    <b v="0"/>
  </r>
  <r>
    <n v="755"/>
    <d v="2024-02-22T22:40:31"/>
    <d v="2024-02-23T06:23:31"/>
    <x v="684"/>
    <x v="1"/>
    <x v="0"/>
    <x v="3"/>
    <x v="4"/>
    <n v="9"/>
    <s v="Operations"/>
    <s v="network"/>
    <s v="Slack notifications delayed for customer support queue."/>
    <s v="Slack notifications delayed for customer support queue. Reported by Vanessa from HR."/>
    <b v="0"/>
    <b v="0"/>
  </r>
  <r>
    <n v="756"/>
    <d v="2024-02-22T22:57:50"/>
    <d v="2024-02-23T03:02:32"/>
    <x v="685"/>
    <x v="1"/>
    <x v="1"/>
    <x v="3"/>
    <x v="2"/>
    <n v="1"/>
    <s v="Finance"/>
    <s v="saas"/>
    <s v="Phone soft client cannot register after ISP change."/>
    <s v="Phone soft client cannot register after ISP change. Reported by Diane from Finance."/>
    <b v="1"/>
    <b v="0"/>
  </r>
  <r>
    <n v="757"/>
    <d v="2024-02-23T03:40:48"/>
    <d v="2024-02-23T04:23:09"/>
    <x v="686"/>
    <x v="0"/>
    <x v="0"/>
    <x v="0"/>
    <x v="5"/>
    <n v="2"/>
    <s v="IT"/>
    <s v="endpoint"/>
    <s v="Warehouse scanner will not sync picks to WMS."/>
    <s v="Warehouse scanner will not sync picks to WMS. Reported by Amy from Operations."/>
    <b v="0"/>
    <b v="0"/>
  </r>
  <r>
    <n v="758"/>
    <d v="2024-02-23T03:56:14"/>
    <d v="2024-02-23T07:21:47"/>
    <x v="687"/>
    <x v="2"/>
    <x v="0"/>
    <x v="2"/>
    <x v="5"/>
    <n v="9"/>
    <s v="Operations"/>
    <s v="endpoint"/>
    <s v="Teams meeting room camera flickers after restart."/>
    <s v="Teams meeting room camera flickers after restart. Reported by Robert from Operations."/>
    <b v="0"/>
    <b v="0"/>
  </r>
  <r>
    <n v="759"/>
    <d v="2024-02-23T04:05:41"/>
    <d v="2024-02-23T06:53:55"/>
    <x v="688"/>
    <x v="1"/>
    <x v="0"/>
    <x v="2"/>
    <x v="5"/>
    <n v="7"/>
    <s v="Finance"/>
    <s v="endpoint"/>
    <s v="Teams channels inaccessible during tenant incident."/>
    <s v="Teams channels inaccessible during tenant incident. Reported by Jacob from Sales."/>
    <b v="1"/>
    <b v="0"/>
  </r>
  <r>
    <n v="760"/>
    <d v="2024-02-23T06:03:59"/>
    <d v="2024-02-23T07:25:59"/>
    <x v="689"/>
    <x v="1"/>
    <x v="0"/>
    <x v="2"/>
    <x v="1"/>
    <n v="3"/>
    <s v="IT"/>
    <s v="voice"/>
    <s v="Outlook keeps prompting for password on Mac."/>
    <s v="Outlook keeps prompting for password on Mac. Reported by Michael from Finance."/>
    <b v="0"/>
    <b v="0"/>
  </r>
  <r>
    <n v="761"/>
    <d v="2024-02-23T06:26:17"/>
    <d v="2024-02-23T20:41:33"/>
    <x v="690"/>
    <x v="2"/>
    <x v="0"/>
    <x v="1"/>
    <x v="5"/>
    <n v="4"/>
    <s v="Finance"/>
    <s v="endpoint"/>
    <s v="SSO certificate warning shown on benefits portal."/>
    <s v="SSO certificate warning shown on benefits portal. Reported by Katherine from HR."/>
    <b v="0"/>
    <b v="0"/>
  </r>
  <r>
    <n v="762"/>
    <d v="2024-02-23T06:33:29"/>
    <d v="2024-02-23T09:22:07"/>
    <x v="691"/>
    <x v="1"/>
    <x v="0"/>
    <x v="0"/>
    <x v="0"/>
    <n v="9"/>
    <s v="Sales"/>
    <s v="business-apps"/>
    <s v="Teams meeting room camera flickers after restart."/>
    <s v="Teams meeting room camera flickers after restart. Reported by Colleen from HR."/>
    <b v="0"/>
    <b v="0"/>
  </r>
  <r>
    <n v="763"/>
    <d v="2024-02-23T07:06:47"/>
    <d v="2024-02-23T13:38:59"/>
    <x v="692"/>
    <x v="1"/>
    <x v="0"/>
    <x v="0"/>
    <x v="0"/>
    <n v="10"/>
    <s v="Warehouse"/>
    <s v="business-apps"/>
    <s v="Scanner cradle not charging overnight."/>
    <s v="Scanner cradle not charging overnight. Reported by Kathleen from Operations."/>
    <b v="0"/>
    <b v="0"/>
  </r>
  <r>
    <n v="764"/>
    <d v="2024-02-23T12:06:22"/>
    <d v="2024-02-23T18:33:32"/>
    <x v="693"/>
    <x v="1"/>
    <x v="0"/>
    <x v="0"/>
    <x v="6"/>
    <n v="9"/>
    <s v="Operations"/>
    <s v="identity"/>
    <s v="Barcode labels printing with incorrect dimensions."/>
    <s v="Barcode labels printing with incorrect dimensions. Reported by James from Operations."/>
    <b v="0"/>
    <b v="0"/>
  </r>
  <r>
    <n v="765"/>
    <d v="2024-02-23T12:22:24"/>
    <d v="2024-02-23T14:05:36"/>
    <x v="694"/>
    <x v="1"/>
    <x v="0"/>
    <x v="0"/>
    <x v="4"/>
    <n v="5"/>
    <s v="Finance"/>
    <s v="network"/>
    <s v="Distribution center users cannot reach file server."/>
    <s v="Distribution center users cannot reach file server. Reported by Andrea from Sales."/>
    <b v="0"/>
    <b v="0"/>
  </r>
  <r>
    <n v="766"/>
    <d v="2024-02-23T12:31:06"/>
    <d v="2024-02-23T13:47:06"/>
    <x v="695"/>
    <x v="3"/>
    <x v="0"/>
    <x v="2"/>
    <x v="6"/>
    <n v="8"/>
    <s v="Warehouse"/>
    <s v="identity"/>
    <s v="Label printer feeds blank stock after maintenance."/>
    <s v="Label printer feeds blank stock after maintenance. Reported by Sara from Operations."/>
    <b v="1"/>
    <b v="0"/>
  </r>
  <r>
    <n v="767"/>
    <d v="2024-02-23T13:55:11"/>
    <d v="2024-02-23T16:03:13"/>
    <x v="696"/>
    <x v="2"/>
    <x v="0"/>
    <x v="0"/>
    <x v="5"/>
    <n v="1"/>
    <s v="Sales"/>
    <s v="endpoint"/>
    <s v="ERP role request approved but not applied."/>
    <s v="ERP role request approved but not applied. Reported by Samuel from Sales."/>
    <b v="0"/>
    <b v="0"/>
  </r>
  <r>
    <n v="768"/>
    <d v="2024-02-23T14:27:03"/>
    <d v="2024-02-23T21:05:51"/>
    <x v="697"/>
    <x v="1"/>
    <x v="0"/>
    <x v="0"/>
    <x v="7"/>
    <n v="10"/>
    <s v="Sales"/>
    <s v="peripherals"/>
    <s v="Teams calls dropping audio after two minutes."/>
    <s v="Teams calls dropping audio after two minutes. Reported by Helen from Warehouse."/>
    <b v="0"/>
    <b v="0"/>
  </r>
  <r>
    <n v="769"/>
    <d v="2024-02-23T14:36:31"/>
    <d v="2024-02-24T07:45:04"/>
    <x v="698"/>
    <x v="2"/>
    <x v="0"/>
    <x v="2"/>
    <x v="0"/>
    <n v="3"/>
    <s v="Warehouse"/>
    <s v="business-apps"/>
    <s v="Cannot sign in to Okta after password reset."/>
    <s v="Cannot sign in to Okta after password reset. Reported by David from HR."/>
    <b v="0"/>
    <b v="0"/>
  </r>
  <r>
    <n v="770"/>
    <d v="2024-02-23T15:06:46"/>
    <d v="2024-02-24T05:22:53"/>
    <x v="699"/>
    <x v="2"/>
    <x v="0"/>
    <x v="2"/>
    <x v="2"/>
    <n v="10"/>
    <s v="HR"/>
    <s v="saas"/>
    <s v="Printer on dock 4 is stuck in offline state."/>
    <s v="Printer on dock 4 is stuck in offline state. Reported by Teresa from Finance."/>
    <b v="0"/>
    <b v="0"/>
  </r>
  <r>
    <n v="771"/>
    <d v="2024-02-23T17:30:54"/>
    <d v="2024-02-23T18:49:08"/>
    <x v="700"/>
    <x v="3"/>
    <x v="0"/>
    <x v="2"/>
    <x v="5"/>
    <n v="1"/>
    <s v="Operations"/>
    <s v="endpoint"/>
    <s v="Laptop blue-screened during payroll export."/>
    <s v="Laptop blue-screened during payroll export. Reported by Chelsea from Sales."/>
    <b v="1"/>
    <b v="0"/>
  </r>
  <r>
    <n v="772"/>
    <d v="2024-02-23T20:23:00"/>
    <d v="2024-02-24T00:10:12"/>
    <x v="701"/>
    <x v="2"/>
    <x v="0"/>
    <x v="0"/>
    <x v="0"/>
    <n v="10"/>
    <s v="IT"/>
    <s v="business-apps"/>
    <s v="Barcode labels printing with incorrect dimensions."/>
    <s v="Barcode labels printing with incorrect dimensions. Reported by John from HR."/>
    <b v="0"/>
    <b v="0"/>
  </r>
  <r>
    <n v="773"/>
    <d v="2024-02-23T21:16:28"/>
    <d v="2024-02-23T22:51:41"/>
    <x v="702"/>
    <x v="0"/>
    <x v="0"/>
    <x v="3"/>
    <x v="1"/>
    <n v="6"/>
    <s v="IT"/>
    <s v="voice"/>
    <s v="Sales laptop webcam missing from device manager."/>
    <s v="Sales laptop webcam missing from device manager. Reported by Eric from Sales."/>
    <b v="0"/>
    <b v="0"/>
  </r>
  <r>
    <n v="774"/>
    <d v="2024-02-24T00:48:26"/>
    <d v="2024-02-24T02:43:32"/>
    <x v="703"/>
    <x v="1"/>
    <x v="0"/>
    <x v="0"/>
    <x v="3"/>
    <n v="6"/>
    <s v="Operations"/>
    <s v="security"/>
    <s v="Distribution center users cannot reach file server."/>
    <s v="Distribution center users cannot reach file server. Reported by Andrea from Operations."/>
    <b v="0"/>
    <b v="0"/>
  </r>
  <r>
    <n v="775"/>
    <d v="2024-02-24T01:38:06"/>
    <d v="2024-02-24T04:11:56"/>
    <x v="704"/>
    <x v="2"/>
    <x v="1"/>
    <x v="2"/>
    <x v="5"/>
    <n v="7"/>
    <s v="Finance"/>
    <s v="endpoint"/>
    <s v="Teams channels inaccessible during tenant incident."/>
    <s v="Teams channels inaccessible during tenant incident. Reported by Andrea from Warehouse."/>
    <b v="0"/>
    <b v="0"/>
  </r>
  <r>
    <n v="776"/>
    <d v="2024-02-24T01:50:32"/>
    <d v="2024-02-24T04:20:55"/>
    <x v="705"/>
    <x v="0"/>
    <x v="0"/>
    <x v="3"/>
    <x v="7"/>
    <n v="5"/>
    <s v="Operations"/>
    <s v="peripherals"/>
    <s v="New hire missing access to onboarding portal."/>
    <s v="New hire missing access to onboarding portal. Reported by Christopher from Finance."/>
    <b v="0"/>
    <b v="0"/>
  </r>
  <r>
    <n v="777"/>
    <d v="2024-02-24T01:56:59"/>
    <d v="2024-02-24T17:34:22"/>
    <x v="706"/>
    <x v="2"/>
    <x v="1"/>
    <x v="3"/>
    <x v="5"/>
    <n v="10"/>
    <s v="Sales"/>
    <s v="endpoint"/>
    <s v="Service account password expired on integration job."/>
    <s v="Service account password expired on integration job. Reported by Victoria from HR."/>
    <b v="0"/>
    <b v="0"/>
  </r>
  <r>
    <n v="778"/>
    <d v="2024-02-24T05:32:40"/>
    <d v="2024-02-24T12:42:43"/>
    <x v="707"/>
    <x v="1"/>
    <x v="0"/>
    <x v="2"/>
    <x v="3"/>
    <n v="2"/>
    <s v="Finance"/>
    <s v="security"/>
    <s v="Cannot sign in to Okta after password reset."/>
    <s v="Cannot sign in to Okta after password reset. Reported by Robin from Operations."/>
    <b v="0"/>
    <b v="0"/>
  </r>
  <r>
    <n v="779"/>
    <d v="2024-02-24T05:46:28"/>
    <d v="2024-02-24T10:33:36"/>
    <x v="708"/>
    <x v="1"/>
    <x v="0"/>
    <x v="0"/>
    <x v="2"/>
    <n v="7"/>
    <s v="Warehouse"/>
    <s v="saas"/>
    <s v="New contractor needs temporary access to WMS."/>
    <s v="New contractor needs temporary access to WMS. Reported by Steven from Finance."/>
    <b v="0"/>
    <b v="0"/>
  </r>
  <r>
    <n v="780"/>
    <d v="2024-02-24T06:25:43"/>
    <d v="2024-02-24T07:25:45"/>
    <x v="709"/>
    <x v="3"/>
    <x v="1"/>
    <x v="1"/>
    <x v="7"/>
    <n v="3"/>
    <s v="Finance"/>
    <s v="peripherals"/>
    <s v="VPN outage reported by remote finance staff."/>
    <s v="VPN outage reported by remote finance staff. Reported by David from Sales."/>
    <b v="1"/>
    <b v="0"/>
  </r>
  <r>
    <n v="781"/>
    <d v="2024-02-24T07:59:39"/>
    <d v="2024-02-24T15:56:57"/>
    <x v="710"/>
    <x v="1"/>
    <x v="1"/>
    <x v="2"/>
    <x v="0"/>
    <n v="1"/>
    <s v="IT"/>
    <s v="business-apps"/>
    <s v="Phone soft client cannot register after ISP change."/>
    <s v="Phone soft client cannot register after ISP change. Reported by Marilyn from Operations."/>
    <b v="0"/>
    <b v="0"/>
  </r>
  <r>
    <n v="782"/>
    <d v="2024-02-24T09:59:08"/>
    <d v="2024-02-24T13:48:49"/>
    <x v="711"/>
    <x v="1"/>
    <x v="0"/>
    <x v="1"/>
    <x v="7"/>
    <n v="7"/>
    <s v="HR"/>
    <s v="peripherals"/>
    <s v="Warehouse RF gun drops Wi-Fi in aisle B."/>
    <s v="Warehouse RF gun drops Wi-Fi in aisle B. Reported by Tyrone from Operations."/>
    <b v="0"/>
    <b v="0"/>
  </r>
  <r>
    <n v="783"/>
    <d v="2024-02-24T10:36:22"/>
    <d v="2024-02-24T17:13:17"/>
    <x v="712"/>
    <x v="1"/>
    <x v="0"/>
    <x v="2"/>
    <x v="1"/>
    <n v="7"/>
    <s v="IT"/>
    <s v="voice"/>
    <s v="Voicemail transcription unavailable in mobile app."/>
    <s v="Voicemail transcription unavailable in mobile app. Reported by Jennifer from Operations."/>
    <b v="0"/>
    <b v="0"/>
  </r>
  <r>
    <n v="784"/>
    <d v="2024-02-24T12:49:14"/>
    <d v="2024-02-24T18:57:41"/>
    <x v="713"/>
    <x v="1"/>
    <x v="0"/>
    <x v="3"/>
    <x v="5"/>
    <n v="2"/>
    <s v="Warehouse"/>
    <s v="endpoint"/>
    <s v="Payroll batch job missed scheduled overnight window."/>
    <s v="Payroll batch job missed scheduled overnight window. Reported by William from Warehouse."/>
    <b v="0"/>
    <b v="0"/>
  </r>
  <r>
    <n v="785"/>
    <d v="2024-02-24T15:48:05"/>
    <d v="2024-02-24T16:00:16"/>
    <x v="714"/>
    <x v="3"/>
    <x v="0"/>
    <x v="3"/>
    <x v="1"/>
    <n v="8"/>
    <s v="HR"/>
    <s v="voice"/>
    <s v="M365 outage causing login failures across offices."/>
    <s v="M365 outage causing login failures across offices. Reported by Joshua from Finance."/>
    <b v="1"/>
    <b v="0"/>
  </r>
  <r>
    <n v="786"/>
    <d v="2024-02-24T15:51:29"/>
    <d v="2024-02-24T18:49:24"/>
    <x v="715"/>
    <x v="2"/>
    <x v="0"/>
    <x v="1"/>
    <x v="2"/>
    <n v="10"/>
    <s v="Sales"/>
    <s v="saas"/>
    <s v="MFA push not arriving on replacement phone."/>
    <s v="MFA push not arriving on replacement phone. Reported by Mary from Operations."/>
    <b v="0"/>
    <b v="0"/>
  </r>
  <r>
    <n v="787"/>
    <d v="2024-02-24T15:56:56"/>
    <d v="2024-02-24T17:01:06"/>
    <x v="716"/>
    <x v="1"/>
    <x v="0"/>
    <x v="3"/>
    <x v="5"/>
    <n v="7"/>
    <s v="Warehouse"/>
    <s v="endpoint"/>
    <s v="Finance cannot export month-end AP aging report."/>
    <s v="Finance cannot export month-end AP aging report. Reported by Tina from Finance."/>
    <b v="0"/>
    <b v="0"/>
  </r>
  <r>
    <n v="788"/>
    <d v="2024-02-24T19:07:16"/>
    <d v="2024-02-25T01:54:32"/>
    <x v="717"/>
    <x v="1"/>
    <x v="0"/>
    <x v="2"/>
    <x v="2"/>
    <n v="3"/>
    <s v="Operations"/>
    <s v="saas"/>
    <s v="Label printer feeds blank stock after maintenance."/>
    <s v="Label printer feeds blank stock after maintenance. Reported by John from Sales."/>
    <b v="0"/>
    <b v="0"/>
  </r>
  <r>
    <n v="789"/>
    <d v="2024-02-24T22:45:00"/>
    <d v="2024-02-25T01:37:33"/>
    <x v="718"/>
    <x v="2"/>
    <x v="0"/>
    <x v="0"/>
    <x v="6"/>
    <n v="1"/>
    <s v="HR"/>
    <s v="identity"/>
    <s v="New hire missing access to onboarding portal."/>
    <s v="New hire missing access to onboarding portal. Reported by Andrea from Finance."/>
    <b v="0"/>
    <b v="0"/>
  </r>
  <r>
    <n v="790"/>
    <d v="2024-02-25T00:21:26"/>
    <d v="2024-02-25T14:38:28"/>
    <x v="719"/>
    <x v="2"/>
    <x v="0"/>
    <x v="2"/>
    <x v="0"/>
    <n v="1"/>
    <s v="HR"/>
    <s v="business-apps"/>
    <s v="Scanner firmware update broke keyboard wedge mode."/>
    <s v="Scanner firmware update broke keyboard wedge mode. Reported by Patrick from HR."/>
    <b v="1"/>
    <b v="0"/>
  </r>
  <r>
    <n v="791"/>
    <d v="2024-02-25T01:18:49"/>
    <d v="2024-02-25T13:21:15"/>
    <x v="720"/>
    <x v="2"/>
    <x v="0"/>
    <x v="2"/>
    <x v="2"/>
    <n v="7"/>
    <s v="Finance"/>
    <s v="saas"/>
    <s v="Service account password expired on integration job."/>
    <s v="Service account password expired on integration job. Reported by Sandra from Sales."/>
    <b v="0"/>
    <b v="0"/>
  </r>
  <r>
    <n v="792"/>
    <d v="2024-02-25T02:33:25"/>
    <d v="2024-02-25T11:47:20"/>
    <x v="721"/>
    <x v="2"/>
    <x v="1"/>
    <x v="2"/>
    <x v="2"/>
    <n v="3"/>
    <s v="Warehouse"/>
    <s v="saas"/>
    <s v="Teams channels inaccessible during tenant incident."/>
    <s v="Teams channels inaccessible during tenant incident. Reported by William from Operations."/>
    <b v="0"/>
    <b v="0"/>
  </r>
  <r>
    <n v="793"/>
    <d v="2024-02-25T04:01:22"/>
    <d v="2024-02-25T10:27:45"/>
    <x v="722"/>
    <x v="1"/>
    <x v="1"/>
    <x v="0"/>
    <x v="2"/>
    <n v="4"/>
    <s v="Finance"/>
    <s v="saas"/>
    <s v="Conference room display shows no HDMI signal."/>
    <s v="Conference room display shows no HDMI signal. Reported by Natasha from Warehouse."/>
    <b v="0"/>
    <b v="0"/>
  </r>
  <r>
    <n v="794"/>
    <d v="2024-02-25T05:34:59"/>
    <d v="2024-02-25T06:43:46"/>
    <x v="723"/>
    <x v="1"/>
    <x v="0"/>
    <x v="2"/>
    <x v="0"/>
    <n v="1"/>
    <s v="IT"/>
    <s v="business-apps"/>
    <s v="Outlook keeps prompting for password on Mac."/>
    <s v="Outlook keeps prompting for password on Mac. Reported by Michelle from HR."/>
    <b v="0"/>
    <b v="0"/>
  </r>
  <r>
    <n v="795"/>
    <d v="2024-02-25T06:14:22"/>
    <d v="2024-02-26T00:58:37"/>
    <x v="724"/>
    <x v="2"/>
    <x v="0"/>
    <x v="0"/>
    <x v="3"/>
    <n v="5"/>
    <s v="IT"/>
    <s v="security"/>
    <s v="Warehouse RF gun drops Wi-Fi in aisle B."/>
    <s v="Warehouse RF gun drops Wi-Fi in aisle B. Reported by Joshua from Finance."/>
    <b v="0"/>
    <b v="0"/>
  </r>
  <r>
    <n v="796"/>
    <d v="2024-02-25T11:07:29"/>
    <d v="2024-02-25T13:38:27"/>
    <x v="725"/>
    <x v="0"/>
    <x v="0"/>
    <x v="1"/>
    <x v="2"/>
    <n v="2"/>
    <s v="IT"/>
    <s v="saas"/>
    <s v="Warehouse scanner will not sync picks to WMS."/>
    <s v="Warehouse scanner will not sync picks to WMS. Reported by Kristy from HR."/>
    <b v="0"/>
    <b v="0"/>
  </r>
  <r>
    <n v="797"/>
    <d v="2024-02-25T12:15:02"/>
    <d v="2024-02-26T01:37:42"/>
    <x v="726"/>
    <x v="2"/>
    <x v="0"/>
    <x v="3"/>
    <x v="6"/>
    <n v="5"/>
    <s v="IT"/>
    <s v="identity"/>
    <s v="Teams channels inaccessible during tenant incident."/>
    <s v="Teams channels inaccessible during tenant incident. Reported by Robert from HR."/>
    <b v="0"/>
    <b v="0"/>
  </r>
  <r>
    <n v="798"/>
    <d v="2024-02-25T12:55:32"/>
    <d v="2024-02-25T13:10:58"/>
    <x v="727"/>
    <x v="3"/>
    <x v="1"/>
    <x v="0"/>
    <x v="0"/>
    <n v="6"/>
    <s v="Sales"/>
    <s v="business-apps"/>
    <s v="Scanner firmware update broke keyboard wedge mode."/>
    <s v="Scanner firmware update broke keyboard wedge mode. Reported by Sarah from Warehouse."/>
    <b v="1"/>
    <b v="0"/>
  </r>
  <r>
    <n v="799"/>
    <d v="2024-02-25T15:26:05"/>
    <d v="2024-02-26T04:54:25"/>
    <x v="728"/>
    <x v="2"/>
    <x v="0"/>
    <x v="1"/>
    <x v="1"/>
    <n v="10"/>
    <s v="IT"/>
    <s v="voice"/>
    <s v="VPN client update failed with rollback error."/>
    <s v="VPN client update failed with rollback error. Reported by William from HR."/>
    <b v="0"/>
    <b v="0"/>
  </r>
  <r>
    <n v="800"/>
    <d v="2024-02-25T20:28:52"/>
    <d v="2024-02-26T13:29:45"/>
    <x v="729"/>
    <x v="2"/>
    <x v="0"/>
    <x v="0"/>
    <x v="2"/>
    <n v="3"/>
    <s v="IT"/>
    <s v="saas"/>
    <s v="Warehouse RF gun drops Wi-Fi in aisle B."/>
    <s v="Warehouse RF gun drops Wi-Fi in aisle B. Reported by Lori from Warehouse."/>
    <b v="1"/>
    <b v="0"/>
  </r>
  <r>
    <n v="801"/>
    <d v="2024-02-25T21:04:22"/>
    <d v="2024-02-26T03:01:03"/>
    <x v="10"/>
    <x v="1"/>
    <x v="2"/>
    <x v="2"/>
    <x v="6"/>
    <n v="4"/>
    <s v="Warehouse"/>
    <s v="identity"/>
    <s v="Barcode labels printing with incorrect dimensions."/>
    <s v="Barcode labels printing with incorrect dimensions. Reported by Justin from HR."/>
    <b v="0"/>
    <b v="0"/>
  </r>
  <r>
    <n v="802"/>
    <d v="2024-02-25T22:29:05"/>
    <d v="2024-02-26T05:48:35"/>
    <x v="730"/>
    <x v="1"/>
    <x v="0"/>
    <x v="3"/>
    <x v="1"/>
    <n v="9"/>
    <s v="HR"/>
    <s v="voice"/>
    <s v="Payroll batch job missed scheduled overnight window."/>
    <s v="Payroll batch job missed scheduled overnight window. Reported by Kenneth from Finance."/>
    <b v="0"/>
    <b v="0"/>
  </r>
  <r>
    <n v="803"/>
    <d v="2024-02-25T23:30:33"/>
    <d v="2024-02-26T07:55:04"/>
    <x v="10"/>
    <x v="2"/>
    <x v="2"/>
    <x v="0"/>
    <x v="2"/>
    <n v="10"/>
    <s v="HR"/>
    <s v="saas"/>
    <s v="Password reset loop continues after successful change."/>
    <s v="Password reset loop continues after successful change. Reported by Brenda from Finance."/>
    <b v="0"/>
    <b v="0"/>
  </r>
  <r>
    <n v="804"/>
    <d v="2024-02-26T01:30:37"/>
    <d v="2024-02-26T11:37:21"/>
    <x v="731"/>
    <x v="2"/>
    <x v="0"/>
    <x v="0"/>
    <x v="4"/>
    <n v="5"/>
    <s v="Warehouse"/>
    <s v="network"/>
    <s v="Warehouse RF gun drops Wi-Fi in aisle B."/>
    <s v="Warehouse RF gun drops Wi-Fi in aisle B. Reported by Yolanda from Sales."/>
    <b v="0"/>
    <b v="0"/>
  </r>
  <r>
    <n v="805"/>
    <d v="2024-02-26T06:40:45"/>
    <d v="2024-02-26T19:01:20"/>
    <x v="732"/>
    <x v="2"/>
    <x v="0"/>
    <x v="3"/>
    <x v="4"/>
    <n v="4"/>
    <s v="IT"/>
    <s v="network"/>
    <s v="Email search indexing incomplete after migration."/>
    <s v="Email search indexing incomplete after migration. Reported by Tracy from HR."/>
    <b v="0"/>
    <b v="0"/>
  </r>
  <r>
    <n v="806"/>
    <d v="2024-02-26T07:26:02"/>
    <d v="2024-02-27T00:17:41"/>
    <x v="733"/>
    <x v="2"/>
    <x v="0"/>
    <x v="0"/>
    <x v="7"/>
    <n v="8"/>
    <s v="Sales"/>
    <s v="peripherals"/>
    <s v="ERP role request approved but not applied."/>
    <s v="ERP role request approved but not applied. Reported by Edgar from Operations."/>
    <b v="0"/>
    <b v="0"/>
  </r>
  <r>
    <n v="807"/>
    <d v="2024-02-26T07:48:16"/>
    <d v="2024-02-26T08:03:30"/>
    <x v="734"/>
    <x v="3"/>
    <x v="0"/>
    <x v="0"/>
    <x v="5"/>
    <n v="8"/>
    <s v="Sales"/>
    <s v="endpoint"/>
    <s v="Finance cannot export month-end AP aging report."/>
    <s v="Finance cannot export month-end AP aging report. Reported by Amanda from Operations."/>
    <b v="1"/>
    <b v="0"/>
  </r>
  <r>
    <n v="808"/>
    <d v="2024-02-26T08:26:09"/>
    <d v="2024-02-26T08:56:59"/>
    <x v="10"/>
    <x v="0"/>
    <x v="3"/>
    <x v="2"/>
    <x v="0"/>
    <n v="8"/>
    <s v="Operations"/>
    <s v="business-apps"/>
    <s v="Intune enrollment stuck on compliance evaluation."/>
    <s v="Intune enrollment stuck on compliance evaluation. Reported by Michael from Sales."/>
    <b v="0"/>
    <b v="0"/>
  </r>
  <r>
    <n v="809"/>
    <d v="2024-02-26T08:38:50"/>
    <d v="2024-02-26T15:36:10"/>
    <x v="735"/>
    <x v="1"/>
    <x v="0"/>
    <x v="0"/>
    <x v="4"/>
    <n v="7"/>
    <s v="HR"/>
    <s v="network"/>
    <s v="Sales laptop webcam missing from device manager."/>
    <s v="Sales laptop webcam missing from device manager. Reported by Andrea from Sales."/>
    <b v="0"/>
    <b v="0"/>
  </r>
  <r>
    <n v="810"/>
    <d v="2024-02-26T09:14:23"/>
    <d v="2024-02-26T15:17:18"/>
    <x v="736"/>
    <x v="1"/>
    <x v="0"/>
    <x v="0"/>
    <x v="2"/>
    <n v="2"/>
    <s v="Sales"/>
    <s v="saas"/>
    <s v="Intune enrollment stuck on compliance evaluation."/>
    <s v="Intune enrollment stuck on compliance evaluation. Reported by Amy from Finance."/>
    <b v="0"/>
    <b v="0"/>
  </r>
  <r>
    <n v="811"/>
    <d v="2024-02-26T13:08:18"/>
    <d v="2024-02-26T20:51:09"/>
    <x v="737"/>
    <x v="1"/>
    <x v="0"/>
    <x v="1"/>
    <x v="5"/>
    <n v="3"/>
    <s v="HR"/>
    <s v="endpoint"/>
    <s v="Citrix launch freezes on black screen."/>
    <s v="Citrix launch freezes on black screen. Reported by Stanley from Operations."/>
    <b v="0"/>
    <b v="0"/>
  </r>
  <r>
    <n v="812"/>
    <d v="2024-02-26T15:57:04"/>
    <d v="2024-02-26T23:12:50"/>
    <x v="738"/>
    <x v="1"/>
    <x v="0"/>
    <x v="2"/>
    <x v="3"/>
    <n v="1"/>
    <s v="Operations"/>
    <s v="security"/>
    <s v="Power BI refresh failing after service account rotation."/>
    <s v="Power BI refresh failing after service account rotation. Reported by Marc from Finance."/>
    <b v="0"/>
    <b v="0"/>
  </r>
  <r>
    <n v="813"/>
    <d v="2024-02-26T16:22:30"/>
    <d v="2024-02-26T20:32:42"/>
    <x v="739"/>
    <x v="2"/>
    <x v="1"/>
    <x v="2"/>
    <x v="2"/>
    <n v="4"/>
    <s v="HR"/>
    <s v="saas"/>
    <s v="M365 outage causing login failures across offices."/>
    <s v="M365 outage causing login failures across offices. Reported by Jacob from Finance."/>
    <b v="0"/>
    <b v="0"/>
  </r>
  <r>
    <n v="814"/>
    <d v="2024-02-26T18:55:40"/>
    <d v="2024-02-26T19:26:11"/>
    <x v="740"/>
    <x v="0"/>
    <x v="0"/>
    <x v="1"/>
    <x v="1"/>
    <n v="9"/>
    <s v="Operations"/>
    <s v="voice"/>
    <s v="Shared mailbox permissions disappeared overnight."/>
    <s v="Shared mailbox permissions disappeared overnight. Reported by Heidi from Operations."/>
    <b v="0"/>
    <b v="0"/>
  </r>
  <r>
    <n v="815"/>
    <d v="2024-02-26T22:01:38"/>
    <d v="2024-02-27T06:00:51"/>
    <x v="741"/>
    <x v="2"/>
    <x v="0"/>
    <x v="0"/>
    <x v="3"/>
    <n v="3"/>
    <s v="Sales"/>
    <s v="security"/>
    <s v="M365 outage causing login failures across offices."/>
    <s v="M365 outage causing login failures across offices. Reported by Ashley from Operations."/>
    <b v="0"/>
    <b v="0"/>
  </r>
  <r>
    <n v="816"/>
    <d v="2024-02-26T23:35:47"/>
    <d v="2024-02-27T07:34:42"/>
    <x v="742"/>
    <x v="1"/>
    <x v="0"/>
    <x v="2"/>
    <x v="3"/>
    <n v="8"/>
    <s v="IT"/>
    <s v="security"/>
    <s v="Shared mailbox permissions disappeared overnight."/>
    <s v="Shared mailbox permissions disappeared overnight. Reported by Jesus from HR."/>
    <b v="0"/>
    <b v="0"/>
  </r>
  <r>
    <n v="817"/>
    <d v="2024-02-27T01:07:00"/>
    <d v="2024-02-27T03:05:37"/>
    <x v="743"/>
    <x v="1"/>
    <x v="0"/>
    <x v="3"/>
    <x v="2"/>
    <n v="5"/>
    <s v="Operations"/>
    <s v="saas"/>
    <s v="Print queue stalled for shipping label batch."/>
    <s v="Print queue stalled for shipping label batch. Reported by Kimberly from Finance."/>
    <b v="0"/>
    <b v="0"/>
  </r>
  <r>
    <n v="818"/>
    <d v="2024-02-27T02:56:00"/>
    <d v="2024-02-27T04:10:45"/>
    <x v="744"/>
    <x v="3"/>
    <x v="0"/>
    <x v="1"/>
    <x v="1"/>
    <n v="2"/>
    <s v="Warehouse"/>
    <s v="voice"/>
    <s v="Procurement team reports ERP attachments missing."/>
    <s v="Procurement team reports ERP attachments missing. Reported by Bradley from Sales."/>
    <b v="1"/>
    <b v="0"/>
  </r>
  <r>
    <n v="819"/>
    <d v="2024-02-27T03:07:28"/>
    <d v="2024-02-27T19:56:42"/>
    <x v="10"/>
    <x v="2"/>
    <x v="3"/>
    <x v="2"/>
    <x v="0"/>
    <n v="3"/>
    <s v="Finance"/>
    <s v="business-apps"/>
    <s v="Distribution center users cannot reach file server."/>
    <s v="Distribution center users cannot reach file server. Reported by Julie from HR."/>
    <b v="0"/>
    <b v="0"/>
  </r>
  <r>
    <n v="820"/>
    <d v="2024-02-27T12:12:32"/>
    <d v="2024-02-27T22:07:54"/>
    <x v="745"/>
    <x v="2"/>
    <x v="1"/>
    <x v="2"/>
    <x v="2"/>
    <n v="7"/>
    <s v="Warehouse"/>
    <s v="saas"/>
    <s v="User cannot map shared drive from new laptop."/>
    <s v="User cannot map shared drive from new laptop. Reported by Janet from Operations."/>
    <b v="0"/>
    <b v="0"/>
  </r>
  <r>
    <n v="821"/>
    <d v="2024-02-27T15:31:25"/>
    <d v="2024-02-27T18:28:46"/>
    <x v="10"/>
    <x v="1"/>
    <x v="3"/>
    <x v="1"/>
    <x v="4"/>
    <n v="8"/>
    <s v="Operations"/>
    <s v="network"/>
    <s v="CEO calendar delegate can no longer edit events."/>
    <s v="CEO calendar delegate can no longer edit events. Reported by Lisa from Warehouse."/>
    <b v="0"/>
    <b v="0"/>
  </r>
  <r>
    <n v="822"/>
    <d v="2024-02-27T16:35:54"/>
    <d v="2024-02-27T18:38:09"/>
    <x v="746"/>
    <x v="1"/>
    <x v="0"/>
    <x v="2"/>
    <x v="1"/>
    <n v="4"/>
    <s v="Finance"/>
    <s v="voice"/>
    <s v="Intune enrollment stuck on compliance evaluation."/>
    <s v="Intune enrollment stuck on compliance evaluation. Reported by Paul from Finance."/>
    <b v="0"/>
    <b v="0"/>
  </r>
  <r>
    <n v="823"/>
    <d v="2024-02-27T16:53:59"/>
    <d v="2024-02-27T18:11:03"/>
    <x v="747"/>
    <x v="1"/>
    <x v="0"/>
    <x v="0"/>
    <x v="4"/>
    <n v="10"/>
    <s v="IT"/>
    <s v="network"/>
    <s v="SSO certificate warning shown on benefits portal."/>
    <s v="SSO certificate warning shown on benefits portal. Reported by Elizabeth from Warehouse."/>
    <b v="0"/>
    <b v="0"/>
  </r>
  <r>
    <n v="824"/>
    <d v="2024-02-27T18:07:32"/>
    <d v="2024-02-28T01:57:57"/>
    <x v="10"/>
    <x v="1"/>
    <x v="3"/>
    <x v="2"/>
    <x v="1"/>
    <n v="1"/>
    <s v="Sales"/>
    <s v="voice"/>
    <s v="Slack notifications delayed for customer support queue."/>
    <s v="Slack notifications delayed for customer support queue. Reported by Lori from Finance."/>
    <b v="1"/>
    <b v="0"/>
  </r>
  <r>
    <n v="825"/>
    <d v="2024-02-27T18:34:46"/>
    <d v="2024-02-27T22:38:48"/>
    <x v="748"/>
    <x v="1"/>
    <x v="0"/>
    <x v="0"/>
    <x v="5"/>
    <n v="6"/>
    <s v="Sales"/>
    <s v="endpoint"/>
    <s v="Barcode labels printing with incorrect dimensions."/>
    <s v="Barcode labels printing with incorrect dimensions. Reported by Tina from Operations."/>
    <b v="0"/>
    <b v="0"/>
  </r>
  <r>
    <n v="826"/>
    <d v="2024-02-28T00:56:38"/>
    <d v="2024-02-28T03:58:29"/>
    <x v="10"/>
    <x v="1"/>
    <x v="2"/>
    <x v="3"/>
    <x v="3"/>
    <n v="3"/>
    <s v="IT"/>
    <s v="security"/>
    <s v="Label printer feeds blank stock after maintenance."/>
    <s v="Label printer feeds blank stock after maintenance. Reported by Tyler from Warehouse."/>
    <b v="0"/>
    <b v="0"/>
  </r>
  <r>
    <n v="827"/>
    <d v="2024-02-28T01:05:25"/>
    <d v="2024-02-28T03:06:30"/>
    <x v="749"/>
    <x v="2"/>
    <x v="0"/>
    <x v="2"/>
    <x v="4"/>
    <n v="9"/>
    <s v="Sales"/>
    <s v="network"/>
    <s v="Email signatures disappeared for sales team."/>
    <s v="Email signatures disappeared for sales team. Reported by Benjamin from Operations."/>
    <b v="0"/>
    <b v="0"/>
  </r>
  <r>
    <n v="828"/>
    <d v="2024-02-28T01:44:08"/>
    <d v="2024-02-28T05:57:33"/>
    <x v="750"/>
    <x v="2"/>
    <x v="1"/>
    <x v="2"/>
    <x v="3"/>
    <n v="8"/>
    <s v="Warehouse"/>
    <s v="security"/>
    <s v="Scanner cradle not charging overnight."/>
    <s v="Scanner cradle not charging overnight. Reported by Wayne from HR."/>
    <b v="0"/>
    <b v="0"/>
  </r>
  <r>
    <n v="829"/>
    <d v="2024-02-28T02:59:40"/>
    <d v="2024-02-28T05:48:16"/>
    <x v="751"/>
    <x v="0"/>
    <x v="0"/>
    <x v="0"/>
    <x v="3"/>
    <n v="1"/>
    <s v="Finance"/>
    <s v="security"/>
    <s v="Phone soft client cannot register after ISP change."/>
    <s v="Phone soft client cannot register after ISP change. Reported by Brittany from Sales."/>
    <b v="0"/>
    <b v="0"/>
  </r>
  <r>
    <n v="830"/>
    <d v="2024-02-28T03:13:15"/>
    <d v="2024-02-28T07:09:08"/>
    <x v="752"/>
    <x v="2"/>
    <x v="0"/>
    <x v="3"/>
    <x v="7"/>
    <n v="4"/>
    <s v="Operations"/>
    <s v="peripherals"/>
    <s v="Phone soft client cannot register after ISP change."/>
    <s v="Phone soft client cannot register after ISP change. Reported by Molly from Sales."/>
    <b v="0"/>
    <b v="0"/>
  </r>
  <r>
    <n v="831"/>
    <d v="2024-02-28T03:16:05"/>
    <d v="2024-02-28T06:10:17"/>
    <x v="753"/>
    <x v="1"/>
    <x v="1"/>
    <x v="0"/>
    <x v="1"/>
    <n v="8"/>
    <s v="Sales"/>
    <s v="voice"/>
    <s v="Citrix launch freezes on black screen."/>
    <s v="Citrix launch freezes on black screen. Reported by Morgan from Finance."/>
    <b v="0"/>
    <b v="0"/>
  </r>
  <r>
    <n v="832"/>
    <d v="2024-02-28T03:21:19"/>
    <d v="2024-02-28T11:26:38"/>
    <x v="754"/>
    <x v="2"/>
    <x v="0"/>
    <x v="1"/>
    <x v="0"/>
    <n v="6"/>
    <s v="Finance"/>
    <s v="business-apps"/>
    <s v="Conference room display shows no HDMI signal."/>
    <s v="Conference room display shows no HDMI signal. Reported by Scott from Sales."/>
    <b v="1"/>
    <b v="0"/>
  </r>
  <r>
    <n v="833"/>
    <d v="2024-02-28T03:58:14"/>
    <d v="2024-02-28T09:07:10"/>
    <x v="755"/>
    <x v="1"/>
    <x v="0"/>
    <x v="1"/>
    <x v="3"/>
    <n v="5"/>
    <s v="IT"/>
    <s v="security"/>
    <s v="Cannot sign in to Okta after password reset."/>
    <s v="Cannot sign in to Okta after password reset. Reported by Alicia from Sales."/>
    <b v="1"/>
    <b v="0"/>
  </r>
  <r>
    <n v="834"/>
    <d v="2024-02-28T04:09:03"/>
    <d v="2024-02-28T04:50:32"/>
    <x v="756"/>
    <x v="3"/>
    <x v="0"/>
    <x v="3"/>
    <x v="0"/>
    <n v="2"/>
    <s v="Sales"/>
    <s v="business-apps"/>
    <s v="Warehouse RF gun drops Wi-Fi in aisle B."/>
    <s v="Warehouse RF gun drops Wi-Fi in aisle B. Reported by Stephen from Warehouse."/>
    <b v="1"/>
    <b v="0"/>
  </r>
  <r>
    <n v="835"/>
    <d v="2024-02-28T05:24:20"/>
    <d v="2024-02-28T11:12:01"/>
    <x v="10"/>
    <x v="2"/>
    <x v="3"/>
    <x v="2"/>
    <x v="6"/>
    <n v="6"/>
    <s v="IT"/>
    <s v="identity"/>
    <s v="Single sign-on to HRIS returns invalid relay state."/>
    <s v="Single sign-on to HRIS returns invalid relay state. Reported by Jennifer from Operations."/>
    <b v="0"/>
    <b v="0"/>
  </r>
  <r>
    <n v="836"/>
    <d v="2024-02-28T05:49:53"/>
    <d v="2024-02-28T06:21:48"/>
    <x v="757"/>
    <x v="0"/>
    <x v="0"/>
    <x v="1"/>
    <x v="2"/>
    <n v="1"/>
    <s v="IT"/>
    <s v="saas"/>
    <s v="Conditional access policy locked out break-glass account."/>
    <s v="Conditional access policy locked out break-glass account. Reported by Robert from Operations."/>
    <b v="0"/>
    <b v="0"/>
  </r>
  <r>
    <n v="837"/>
    <d v="2024-02-28T06:06:57"/>
    <d v="2024-02-28T21:13:53"/>
    <x v="758"/>
    <x v="2"/>
    <x v="0"/>
    <x v="0"/>
    <x v="6"/>
    <n v="4"/>
    <s v="Finance"/>
    <s v="identity"/>
    <s v="ERP purchase order screen timing out for AP team."/>
    <s v="ERP purchase order screen timing out for AP team. Reported by Diana from Warehouse."/>
    <b v="1"/>
    <b v="0"/>
  </r>
  <r>
    <n v="838"/>
    <d v="2024-02-28T06:59:40"/>
    <d v="2024-02-28T18:21:30"/>
    <x v="759"/>
    <x v="2"/>
    <x v="0"/>
    <x v="3"/>
    <x v="7"/>
    <n v="3"/>
    <s v="Finance"/>
    <s v="peripherals"/>
    <s v="Excel add-in blocked by security policy."/>
    <s v="Excel add-in blocked by security policy. Reported by Eric from Sales."/>
    <b v="0"/>
    <b v="0"/>
  </r>
  <r>
    <n v="839"/>
    <d v="2024-02-28T07:40:34"/>
    <d v="2024-02-28T17:19:54"/>
    <x v="760"/>
    <x v="2"/>
    <x v="1"/>
    <x v="0"/>
    <x v="5"/>
    <n v="7"/>
    <s v="Operations"/>
    <s v="endpoint"/>
    <s v="Scanner firmware update broke keyboard wedge mode."/>
    <s v="Scanner firmware update broke keyboard wedge mode. Reported by Terrance from Sales."/>
    <b v="0"/>
    <b v="0"/>
  </r>
  <r>
    <n v="840"/>
    <d v="2024-02-28T08:06:46"/>
    <d v="2024-02-28T09:38:28"/>
    <x v="10"/>
    <x v="1"/>
    <x v="2"/>
    <x v="2"/>
    <x v="4"/>
    <n v="5"/>
    <s v="HR"/>
    <s v="network"/>
    <s v="BitLocker recovery key prompt appears at boot."/>
    <s v="BitLocker recovery key prompt appears at boot. Reported by Tanya from Sales."/>
    <b v="1"/>
    <b v="0"/>
  </r>
  <r>
    <n v="841"/>
    <d v="2024-02-28T11:22:55"/>
    <d v="2024-02-28T16:25:55"/>
    <x v="10"/>
    <x v="1"/>
    <x v="2"/>
    <x v="2"/>
    <x v="3"/>
    <n v="5"/>
    <s v="Warehouse"/>
    <s v="security"/>
    <s v="Service account password expired on integration job."/>
    <s v="Service account password expired on integration job. Reported by Matthew from Sales."/>
    <b v="0"/>
    <b v="0"/>
  </r>
  <r>
    <n v="842"/>
    <d v="2024-02-28T11:59:04"/>
    <d v="2024-02-28T16:40:52"/>
    <x v="761"/>
    <x v="1"/>
    <x v="0"/>
    <x v="3"/>
    <x v="7"/>
    <n v="9"/>
    <s v="Sales"/>
    <s v="peripherals"/>
    <s v="Distribution center users cannot reach file server."/>
    <s v="Distribution center users cannot reach file server. Reported by Heather from Operations."/>
    <b v="0"/>
    <b v="0"/>
  </r>
  <r>
    <n v="843"/>
    <d v="2024-02-28T14:06:05"/>
    <d v="2024-02-28T16:40:07"/>
    <x v="762"/>
    <x v="0"/>
    <x v="0"/>
    <x v="0"/>
    <x v="4"/>
    <n v="4"/>
    <s v="Warehouse"/>
    <s v="network"/>
    <s v="VPN fails only for users in Phoenix office."/>
    <s v="VPN fails only for users in Phoenix office. Reported by Debra from Warehouse."/>
    <b v="0"/>
    <b v="0"/>
  </r>
  <r>
    <n v="844"/>
    <d v="2024-02-28T15:05:02"/>
    <d v="2024-02-29T03:20:12"/>
    <x v="763"/>
    <x v="2"/>
    <x v="0"/>
    <x v="0"/>
    <x v="0"/>
    <n v="8"/>
    <s v="Operations"/>
    <s v="business-apps"/>
    <s v="VPN outage reported by remote finance staff."/>
    <s v="VPN outage reported by remote finance staff. Reported by Melissa from Sales."/>
    <b v="0"/>
    <b v="0"/>
  </r>
  <r>
    <n v="845"/>
    <d v="2024-02-28T15:19:31"/>
    <d v="2024-02-28T19:35:13"/>
    <x v="764"/>
    <x v="1"/>
    <x v="0"/>
    <x v="1"/>
    <x v="0"/>
    <n v="9"/>
    <s v="Operations"/>
    <s v="business-apps"/>
    <s v="Print queue stalled for shipping label batch."/>
    <s v="Print queue stalled for shipping label batch. Reported by Melissa from HR."/>
    <b v="0"/>
    <b v="0"/>
  </r>
  <r>
    <n v="846"/>
    <d v="2024-02-28T16:59:07"/>
    <d v="2024-02-29T00:48:20"/>
    <x v="765"/>
    <x v="1"/>
    <x v="1"/>
    <x v="0"/>
    <x v="4"/>
    <n v="2"/>
    <s v="HR"/>
    <s v="network"/>
    <s v="ERP role request approved but not applied."/>
    <s v="ERP role request approved but not applied. Reported by Michele from Sales."/>
    <b v="0"/>
    <b v="0"/>
  </r>
  <r>
    <n v="847"/>
    <d v="2024-02-28T21:38:45"/>
    <d v="2024-02-29T03:20:37"/>
    <x v="766"/>
    <x v="1"/>
    <x v="0"/>
    <x v="0"/>
    <x v="7"/>
    <n v="8"/>
    <s v="Warehouse"/>
    <s v="peripherals"/>
    <s v="Shared mailbox permissions disappeared overnight."/>
    <s v="Shared mailbox permissions disappeared overnight. Reported by Norman from Finance."/>
    <b v="0"/>
    <b v="0"/>
  </r>
  <r>
    <n v="848"/>
    <d v="2024-02-28T22:22:29"/>
    <d v="2024-02-29T02:38:38"/>
    <x v="767"/>
    <x v="2"/>
    <x v="0"/>
    <x v="0"/>
    <x v="5"/>
    <n v="1"/>
    <s v="Sales"/>
    <s v="endpoint"/>
    <s v="ERP role request approved but not applied."/>
    <s v="ERP role request approved but not applied. Reported by Levi from HR."/>
    <b v="0"/>
    <b v="0"/>
  </r>
  <r>
    <n v="849"/>
    <d v="2024-02-29T00:24:27"/>
    <d v="2024-02-29T18:58:35"/>
    <x v="768"/>
    <x v="2"/>
    <x v="0"/>
    <x v="3"/>
    <x v="2"/>
    <n v="7"/>
    <s v="Warehouse"/>
    <s v="saas"/>
    <s v="New hire missing access to onboarding portal."/>
    <s v="New hire missing access to onboarding portal. Reported by Jennifer from Finance."/>
    <b v="1"/>
    <b v="0"/>
  </r>
  <r>
    <n v="850"/>
    <d v="2024-02-29T00:38:58"/>
    <d v="2024-02-29T04:47:54"/>
    <x v="769"/>
    <x v="1"/>
    <x v="0"/>
    <x v="2"/>
    <x v="4"/>
    <n v="3"/>
    <s v="Sales"/>
    <s v="network"/>
    <s v="Email signatures disappeared for sales team."/>
    <s v="Email signatures disappeared for sales team. Reported by Katherine from Operations."/>
    <b v="0"/>
    <b v="0"/>
  </r>
  <r>
    <n v="851"/>
    <d v="2024-02-29T02:26:32"/>
    <d v="2024-02-29T04:06:59"/>
    <x v="770"/>
    <x v="1"/>
    <x v="0"/>
    <x v="1"/>
    <x v="7"/>
    <n v="3"/>
    <s v="Operations"/>
    <s v="peripherals"/>
    <s v="Warehouse RF gun drops Wi-Fi in aisle B."/>
    <s v="Warehouse RF gun drops Wi-Fi in aisle B. Reported by Monique from Finance."/>
    <b v="0"/>
    <b v="0"/>
  </r>
  <r>
    <n v="852"/>
    <d v="2024-02-29T04:39:56"/>
    <d v="2024-02-29T18:40:12"/>
    <x v="771"/>
    <x v="2"/>
    <x v="0"/>
    <x v="3"/>
    <x v="7"/>
    <n v="9"/>
    <s v="Operations"/>
    <s v="peripherals"/>
    <s v="MFA push not arriving on replacement phone."/>
    <s v="MFA push not arriving on replacement phone. Reported by Barry from Warehouse."/>
    <b v="0"/>
    <b v="0"/>
  </r>
  <r>
    <n v="853"/>
    <d v="2024-02-29T06:50:20"/>
    <d v="2024-02-29T11:48:19"/>
    <x v="772"/>
    <x v="1"/>
    <x v="0"/>
    <x v="1"/>
    <x v="3"/>
    <n v="2"/>
    <s v="Sales"/>
    <s v="security"/>
    <s v="Outlook keeps prompting for password on Mac."/>
    <s v="Outlook keeps prompting for password on Mac. Reported by Casey from HR."/>
    <b v="0"/>
    <b v="0"/>
  </r>
  <r>
    <n v="854"/>
    <d v="2024-02-29T08:06:33"/>
    <d v="2024-03-01T03:44:48"/>
    <x v="773"/>
    <x v="2"/>
    <x v="0"/>
    <x v="2"/>
    <x v="4"/>
    <n v="6"/>
    <s v="Sales"/>
    <s v="network"/>
    <s v="New hire missing access to onboarding portal."/>
    <s v="New hire missing access to onboarding portal. Reported by Crystal from Operations."/>
    <b v="0"/>
    <b v="0"/>
  </r>
  <r>
    <n v="855"/>
    <d v="2024-02-29T08:19:40"/>
    <d v="2024-02-29T17:47:15"/>
    <x v="774"/>
    <x v="2"/>
    <x v="0"/>
    <x v="0"/>
    <x v="5"/>
    <n v="8"/>
    <s v="Warehouse"/>
    <s v="endpoint"/>
    <s v="Phone soft client cannot register after ISP change."/>
    <s v="Phone soft client cannot register after ISP change. Reported by Samantha from Operations."/>
    <b v="0"/>
    <b v="0"/>
  </r>
  <r>
    <n v="856"/>
    <d v="2024-02-29T09:02:21"/>
    <d v="2024-02-29T22:48:49"/>
    <x v="775"/>
    <x v="2"/>
    <x v="0"/>
    <x v="2"/>
    <x v="6"/>
    <n v="9"/>
    <s v="HR"/>
    <s v="identity"/>
    <s v="Suspicious login alert triggered for finance user."/>
    <s v="Suspicious login alert triggered for finance user. Reported by Wendy from Sales."/>
    <b v="0"/>
    <b v="0"/>
  </r>
  <r>
    <n v="857"/>
    <d v="2024-02-29T09:40:31"/>
    <d v="2024-02-29T11:26:21"/>
    <x v="10"/>
    <x v="0"/>
    <x v="2"/>
    <x v="2"/>
    <x v="3"/>
    <n v="3"/>
    <s v="Finance"/>
    <s v="security"/>
    <s v="Single sign-on to HRIS returns invalid relay state."/>
    <s v="Single sign-on to HRIS returns invalid relay state. Reported by Julie from HR."/>
    <b v="1"/>
    <b v="0"/>
  </r>
  <r>
    <n v="858"/>
    <d v="2024-02-29T10:04:26"/>
    <d v="2024-02-29T19:37:27"/>
    <x v="776"/>
    <x v="2"/>
    <x v="0"/>
    <x v="0"/>
    <x v="4"/>
    <n v="4"/>
    <s v="Sales"/>
    <s v="network"/>
    <s v="Warehouse RF gun drops Wi-Fi in aisle B."/>
    <s v="Warehouse RF gun drops Wi-Fi in aisle B. Reported by Ryan from Warehouse."/>
    <b v="0"/>
    <b v="0"/>
  </r>
  <r>
    <n v="859"/>
    <d v="2024-02-29T10:45:39"/>
    <d v="2024-03-01T01:01:35"/>
    <x v="777"/>
    <x v="2"/>
    <x v="0"/>
    <x v="3"/>
    <x v="3"/>
    <n v="6"/>
    <s v="Warehouse"/>
    <s v="security"/>
    <s v="Label printer feeds blank stock after maintenance."/>
    <s v="Label printer feeds blank stock after maintenance. Reported by Corey from Sales."/>
    <b v="0"/>
    <b v="0"/>
  </r>
  <r>
    <n v="860"/>
    <d v="2024-02-29T10:46:49"/>
    <d v="2024-02-29T12:06:36"/>
    <x v="10"/>
    <x v="1"/>
    <x v="3"/>
    <x v="0"/>
    <x v="4"/>
    <n v="6"/>
    <s v="Finance"/>
    <s v="network"/>
    <s v="Intune enrollment stuck on compliance evaluation."/>
    <s v="Intune enrollment stuck on compliance evaluation. Reported by Cynthia from HR."/>
    <b v="0"/>
    <b v="0"/>
  </r>
  <r>
    <n v="861"/>
    <d v="2024-02-29T12:40:14"/>
    <d v="2024-03-01T01:01:08"/>
    <x v="778"/>
    <x v="2"/>
    <x v="0"/>
    <x v="2"/>
    <x v="4"/>
    <n v="2"/>
    <s v="IT"/>
    <s v="network"/>
    <s v="New contractor needs temporary access to WMS."/>
    <s v="New contractor needs temporary access to WMS. Reported by Monique from Sales."/>
    <b v="0"/>
    <b v="0"/>
  </r>
  <r>
    <n v="862"/>
    <d v="2024-02-29T14:36:28"/>
    <d v="2024-02-29T19:05:30"/>
    <x v="779"/>
    <x v="1"/>
    <x v="0"/>
    <x v="2"/>
    <x v="5"/>
    <n v="6"/>
    <s v="IT"/>
    <s v="endpoint"/>
    <s v="Scanner firmware update broke keyboard wedge mode."/>
    <s v="Scanner firmware update broke keyboard wedge mode. Reported by Scott from Operations."/>
    <b v="0"/>
    <b v="0"/>
  </r>
  <r>
    <n v="863"/>
    <d v="2024-02-29T17:17:31"/>
    <d v="2024-03-01T00:39:12"/>
    <x v="10"/>
    <x v="2"/>
    <x v="3"/>
    <x v="3"/>
    <x v="3"/>
    <n v="1"/>
    <s v="Sales"/>
    <s v="security"/>
    <s v="Scanner cradle not charging overnight."/>
    <s v="Scanner cradle not charging overnight. Reported by Heather from HR."/>
    <b v="0"/>
    <b v="0"/>
  </r>
  <r>
    <n v="864"/>
    <d v="2024-02-29T17:41:26"/>
    <d v="2024-02-29T20:21:25"/>
    <x v="780"/>
    <x v="1"/>
    <x v="1"/>
    <x v="0"/>
    <x v="4"/>
    <n v="7"/>
    <s v="Operations"/>
    <s v="network"/>
    <s v="VPN client update failed with rollback error."/>
    <s v="VPN client update failed with rollback error. Reported by Rebecca from Warehouse."/>
    <b v="1"/>
    <b v="0"/>
  </r>
  <r>
    <n v="865"/>
    <d v="2024-02-29T18:46:17"/>
    <d v="2024-02-29T21:00:07"/>
    <x v="781"/>
    <x v="0"/>
    <x v="0"/>
    <x v="0"/>
    <x v="4"/>
    <n v="8"/>
    <s v="HR"/>
    <s v="network"/>
    <s v="Suspicious login alert triggered for finance user."/>
    <s v="Suspicious login alert triggered for finance user. Reported by Brandon from Finance."/>
    <b v="0"/>
    <b v="0"/>
  </r>
  <r>
    <n v="866"/>
    <d v="2024-02-29T19:21:39"/>
    <d v="2024-03-01T02:00:55"/>
    <x v="782"/>
    <x v="1"/>
    <x v="0"/>
    <x v="2"/>
    <x v="7"/>
    <n v="5"/>
    <s v="Sales"/>
    <s v="peripherals"/>
    <s v="Suspicious login alert triggered for finance user."/>
    <s v="Suspicious login alert triggered for finance user. Reported by Laura from Finance."/>
    <b v="0"/>
    <b v="0"/>
  </r>
  <r>
    <n v="867"/>
    <d v="2024-02-29T19:32:18"/>
    <d v="2024-02-29T21:26:42"/>
    <x v="783"/>
    <x v="0"/>
    <x v="0"/>
    <x v="3"/>
    <x v="0"/>
    <n v="3"/>
    <s v="Finance"/>
    <s v="business-apps"/>
    <s v="Spam burst hit shared support inbox this morning."/>
    <s v="Spam burst hit shared support inbox this morning. Reported by Kelly from HR."/>
    <b v="0"/>
    <b v="0"/>
  </r>
  <r>
    <n v="868"/>
    <d v="2024-02-29T19:49:50"/>
    <d v="2024-02-29T21:36:35"/>
    <x v="784"/>
    <x v="1"/>
    <x v="0"/>
    <x v="2"/>
    <x v="7"/>
    <n v="3"/>
    <s v="HR"/>
    <s v="peripherals"/>
    <s v="Warehouse RF gun drops Wi-Fi in aisle B."/>
    <s v="Warehouse RF gun drops Wi-Fi in aisle B. Reported by Nicholas from Operations."/>
    <b v="0"/>
    <b v="0"/>
  </r>
  <r>
    <n v="869"/>
    <d v="2024-02-29T20:00:09"/>
    <d v="2024-03-01T07:57:46"/>
    <x v="785"/>
    <x v="2"/>
    <x v="0"/>
    <x v="2"/>
    <x v="6"/>
    <n v="7"/>
    <s v="Operations"/>
    <s v="identity"/>
    <s v="Email signatures disappeared for sales team."/>
    <s v="Email signatures disappeared for sales team. Reported by Dustin from Finance."/>
    <b v="0"/>
    <b v="0"/>
  </r>
  <r>
    <n v="870"/>
    <d v="2024-02-29T21:56:46"/>
    <d v="2024-03-01T01:17:57"/>
    <x v="786"/>
    <x v="1"/>
    <x v="0"/>
    <x v="3"/>
    <x v="1"/>
    <n v="5"/>
    <s v="Operations"/>
    <s v="voice"/>
    <s v="Service account password expired on integration job."/>
    <s v="Service account password expired on integration job. Reported by Amanda from Sales."/>
    <b v="0"/>
    <b v="0"/>
  </r>
  <r>
    <n v="871"/>
    <d v="2024-02-29T22:11:02"/>
    <d v="2024-03-01T11:38:49"/>
    <x v="787"/>
    <x v="2"/>
    <x v="0"/>
    <x v="2"/>
    <x v="5"/>
    <n v="10"/>
    <s v="HR"/>
    <s v="endpoint"/>
    <s v="Voicemail transcription unavailable in mobile app."/>
    <s v="Voicemail transcription unavailable in mobile app. Reported by Ashlee from Operations."/>
    <b v="0"/>
    <b v="0"/>
  </r>
  <r>
    <n v="872"/>
    <d v="2024-02-29T22:44:43"/>
    <d v="2024-03-01T00:38:51"/>
    <x v="788"/>
    <x v="0"/>
    <x v="0"/>
    <x v="0"/>
    <x v="6"/>
    <n v="10"/>
    <s v="Warehouse"/>
    <s v="identity"/>
    <s v="Warehouse scanner will not sync picks to WMS."/>
    <s v="Warehouse scanner will not sync picks to WMS. Reported by Laura from Warehouse."/>
    <b v="0"/>
    <b v="0"/>
  </r>
  <r>
    <n v="873"/>
    <d v="2024-02-29T23:20:29"/>
    <d v="2024-03-01T14:16:26"/>
    <x v="789"/>
    <x v="2"/>
    <x v="0"/>
    <x v="0"/>
    <x v="6"/>
    <n v="5"/>
    <s v="Sales"/>
    <s v="identity"/>
    <s v="Warehouse RF gun drops Wi-Fi in aisle B."/>
    <s v="Warehouse RF gun drops Wi-Fi in aisle B. Reported by George from HR."/>
    <b v="0"/>
    <b v="0"/>
  </r>
  <r>
    <n v="874"/>
    <d v="2024-03-01T02:46:02"/>
    <d v="2024-03-01T05:45:06"/>
    <x v="790"/>
    <x v="2"/>
    <x v="0"/>
    <x v="2"/>
    <x v="4"/>
    <n v="3"/>
    <s v="Sales"/>
    <s v="network"/>
    <s v="Intune enrollment stuck on compliance evaluation."/>
    <s v="Intune enrollment stuck on compliance evaluation. Reported by Christian from Finance."/>
    <b v="0"/>
    <b v="0"/>
  </r>
  <r>
    <n v="875"/>
    <d v="2024-03-01T04:16:20"/>
    <d v="2024-03-01T06:15:58"/>
    <x v="791"/>
    <x v="1"/>
    <x v="0"/>
    <x v="2"/>
    <x v="2"/>
    <n v="9"/>
    <s v="Finance"/>
    <s v="saas"/>
    <s v="Teams calls dropping audio after two minutes."/>
    <s v="Teams calls dropping audio after two minutes. Reported by Monica from Operations."/>
    <b v="0"/>
    <b v="0"/>
  </r>
  <r>
    <n v="876"/>
    <d v="2024-03-01T06:18:35"/>
    <d v="2024-03-01T20:23:18"/>
    <x v="792"/>
    <x v="2"/>
    <x v="0"/>
    <x v="0"/>
    <x v="6"/>
    <n v="8"/>
    <s v="HR"/>
    <s v="identity"/>
    <s v="BitLocker recovery key prompt appears at boot."/>
    <s v="BitLocker recovery key prompt appears at boot. Reported by Christine from HR."/>
    <b v="0"/>
    <b v="0"/>
  </r>
  <r>
    <n v="877"/>
    <d v="2024-03-01T06:33:16"/>
    <d v="2024-03-01T08:42:17"/>
    <x v="793"/>
    <x v="2"/>
    <x v="0"/>
    <x v="2"/>
    <x v="0"/>
    <n v="2"/>
    <s v="HR"/>
    <s v="business-apps"/>
    <s v="Outlook keeps prompting for password on Mac."/>
    <s v="Outlook keeps prompting for password on Mac. Reported by John from Finance."/>
    <b v="0"/>
    <b v="0"/>
  </r>
  <r>
    <n v="878"/>
    <d v="2024-03-01T07:49:01"/>
    <d v="2024-03-01T09:19:28"/>
    <x v="794"/>
    <x v="1"/>
    <x v="0"/>
    <x v="3"/>
    <x v="0"/>
    <n v="10"/>
    <s v="Sales"/>
    <s v="business-apps"/>
    <s v="Distribution center users cannot reach file server."/>
    <s v="Distribution center users cannot reach file server. Reported by Roberta from HR."/>
    <b v="0"/>
    <b v="0"/>
  </r>
  <r>
    <n v="879"/>
    <d v="2024-03-01T14:47:24"/>
    <d v="2024-03-01T18:50:10"/>
    <x v="795"/>
    <x v="2"/>
    <x v="0"/>
    <x v="1"/>
    <x v="3"/>
    <n v="3"/>
    <s v="Finance"/>
    <s v="security"/>
    <s v="Docking station no longer drives dual monitors."/>
    <s v="Docking station no longer drives dual monitors. Reported by Douglas from Finance."/>
    <b v="0"/>
    <b v="0"/>
  </r>
  <r>
    <n v="880"/>
    <d v="2024-03-01T14:59:55"/>
    <d v="2024-03-01T17:24:55"/>
    <x v="796"/>
    <x v="0"/>
    <x v="0"/>
    <x v="2"/>
    <x v="6"/>
    <n v="6"/>
    <s v="IT"/>
    <s v="identity"/>
    <s v="Citrix launch freezes on black screen."/>
    <s v="Citrix launch freezes on black screen. Reported by Steven from Operations."/>
    <b v="0"/>
    <b v="0"/>
  </r>
  <r>
    <n v="881"/>
    <d v="2024-03-01T22:16:28"/>
    <d v="2024-03-02T03:53:41"/>
    <x v="797"/>
    <x v="1"/>
    <x v="1"/>
    <x v="0"/>
    <x v="6"/>
    <n v="2"/>
    <s v="Sales"/>
    <s v="identity"/>
    <s v="Laptop blue-screened during payroll export."/>
    <s v="Laptop blue-screened during payroll export. Reported by Jonathan from Operations."/>
    <b v="0"/>
    <b v="0"/>
  </r>
  <r>
    <n v="882"/>
    <d v="2024-03-02T02:06:14"/>
    <d v="2024-03-02T08:52:23"/>
    <x v="798"/>
    <x v="1"/>
    <x v="0"/>
    <x v="0"/>
    <x v="5"/>
    <n v="5"/>
    <s v="Sales"/>
    <s v="endpoint"/>
    <s v="Mailbox forwarding rule recreated after removal."/>
    <s v="Mailbox forwarding rule recreated after removal. Reported by Jonathan from Sales."/>
    <b v="0"/>
    <b v="0"/>
  </r>
  <r>
    <n v="883"/>
    <d v="2024-03-02T02:28:19"/>
    <d v="2024-03-02T16:31:28"/>
    <x v="799"/>
    <x v="2"/>
    <x v="0"/>
    <x v="3"/>
    <x v="2"/>
    <n v="7"/>
    <s v="Warehouse"/>
    <s v="saas"/>
    <s v="New contractor needs temporary access to WMS."/>
    <s v="New contractor needs temporary access to WMS. Reported by Albert from Operations."/>
    <b v="1"/>
    <b v="0"/>
  </r>
  <r>
    <n v="884"/>
    <d v="2024-03-02T02:55:57"/>
    <d v="2024-03-02T07:22:02"/>
    <x v="10"/>
    <x v="2"/>
    <x v="2"/>
    <x v="2"/>
    <x v="0"/>
    <n v="2"/>
    <s v="IT"/>
    <s v="business-apps"/>
    <s v="New hire missing access to onboarding portal."/>
    <s v="New hire missing access to onboarding portal. Reported by Linda from Finance."/>
    <b v="0"/>
    <b v="0"/>
  </r>
  <r>
    <n v="885"/>
    <d v="2024-03-02T04:52:40"/>
    <d v="2024-03-02T11:18:39"/>
    <x v="800"/>
    <x v="1"/>
    <x v="0"/>
    <x v="0"/>
    <x v="5"/>
    <n v="3"/>
    <s v="IT"/>
    <s v="endpoint"/>
    <s v="Scanner firmware update broke keyboard wedge mode."/>
    <s v="Scanner firmware update broke keyboard wedge mode. Reported by Rachel from Sales."/>
    <b v="0"/>
    <b v="0"/>
  </r>
  <r>
    <n v="886"/>
    <d v="2024-03-02T07:36:33"/>
    <d v="2024-03-02T22:41:41"/>
    <x v="801"/>
    <x v="2"/>
    <x v="0"/>
    <x v="1"/>
    <x v="4"/>
    <n v="8"/>
    <s v="Sales"/>
    <s v="network"/>
    <s v="Email quarantine released but message still missing."/>
    <s v="Email quarantine released but message still missing. Reported by Erica from Finance."/>
    <b v="0"/>
    <b v="0"/>
  </r>
  <r>
    <n v="887"/>
    <d v="2024-03-02T10:01:41"/>
    <d v="2024-03-02T11:06:25"/>
    <x v="802"/>
    <x v="0"/>
    <x v="0"/>
    <x v="0"/>
    <x v="0"/>
    <n v="10"/>
    <s v="Sales"/>
    <s v="business-apps"/>
    <s v="Shared mailbox permissions disappeared overnight."/>
    <s v="Shared mailbox permissions disappeared overnight. Reported by Eric from Warehouse."/>
    <b v="0"/>
    <b v="0"/>
  </r>
  <r>
    <n v="888"/>
    <d v="2024-03-02T10:04:17"/>
    <d v="2024-03-02T22:01:11"/>
    <x v="803"/>
    <x v="2"/>
    <x v="0"/>
    <x v="2"/>
    <x v="0"/>
    <n v="10"/>
    <s v="Operations"/>
    <s v="business-apps"/>
    <s v="MFA push not arriving on replacement phone."/>
    <s v="MFA push not arriving on replacement phone. Reported by Scott from Warehouse."/>
    <b v="0"/>
    <b v="0"/>
  </r>
  <r>
    <n v="889"/>
    <d v="2024-03-02T12:49:44"/>
    <d v="2024-03-02T15:31:09"/>
    <x v="804"/>
    <x v="0"/>
    <x v="0"/>
    <x v="0"/>
    <x v="0"/>
    <n v="8"/>
    <s v="Sales"/>
    <s v="business-apps"/>
    <s v="Email search indexing incomplete after migration."/>
    <s v="Email search indexing incomplete after migration. Reported by Michael from HR."/>
    <b v="0"/>
    <b v="0"/>
  </r>
  <r>
    <n v="890"/>
    <d v="2024-03-02T13:24:11"/>
    <d v="2024-03-02T18:08:03"/>
    <x v="805"/>
    <x v="1"/>
    <x v="1"/>
    <x v="3"/>
    <x v="7"/>
    <n v="10"/>
    <s v="IT"/>
    <s v="peripherals"/>
    <s v="Service account password expired on integration job."/>
    <s v="Service account password expired on integration job. Reported by Briana from Finance."/>
    <b v="0"/>
    <b v="0"/>
  </r>
  <r>
    <n v="891"/>
    <d v="2024-03-02T14:29:59"/>
    <d v="2024-03-02T17:11:56"/>
    <x v="806"/>
    <x v="1"/>
    <x v="0"/>
    <x v="1"/>
    <x v="3"/>
    <n v="2"/>
    <s v="Operations"/>
    <s v="security"/>
    <s v="Conditional access policy locked out break-glass account."/>
    <s v="Conditional access policy locked out break-glass account. Reported by Danielle from Operations."/>
    <b v="0"/>
    <b v="0"/>
  </r>
  <r>
    <n v="892"/>
    <d v="2024-03-02T15:04:50"/>
    <d v="2024-03-02T17:07:15"/>
    <x v="807"/>
    <x v="1"/>
    <x v="0"/>
    <x v="2"/>
    <x v="3"/>
    <n v="3"/>
    <s v="IT"/>
    <s v="security"/>
    <s v="Laptop blue-screened during payroll export."/>
    <s v="Laptop blue-screened during payroll export. Reported by Roger from Operations."/>
    <b v="1"/>
    <b v="0"/>
  </r>
  <r>
    <n v="893"/>
    <d v="2024-03-02T17:07:10"/>
    <d v="2024-03-02T23:35:55"/>
    <x v="808"/>
    <x v="2"/>
    <x v="0"/>
    <x v="2"/>
    <x v="1"/>
    <n v="5"/>
    <s v="Finance"/>
    <s v="voice"/>
    <s v="M365 outage causing login failures across offices."/>
    <s v="M365 outage causing login failures across offices. Reported by John from Sales."/>
    <b v="0"/>
    <b v="0"/>
  </r>
  <r>
    <n v="894"/>
    <d v="2024-03-02T19:36:36"/>
    <d v="2024-03-03T12:27:54"/>
    <x v="809"/>
    <x v="2"/>
    <x v="0"/>
    <x v="1"/>
    <x v="2"/>
    <n v="10"/>
    <s v="IT"/>
    <s v="saas"/>
    <s v="Slack notifications delayed for customer support queue."/>
    <s v="Slack notifications delayed for customer support queue. Reported by Megan from Finance."/>
    <b v="0"/>
    <b v="0"/>
  </r>
  <r>
    <n v="895"/>
    <d v="2024-03-02T20:37:18"/>
    <d v="2024-03-03T07:57:53"/>
    <x v="810"/>
    <x v="2"/>
    <x v="0"/>
    <x v="0"/>
    <x v="4"/>
    <n v="8"/>
    <s v="Finance"/>
    <s v="network"/>
    <s v="Excel add-in blocked by security policy."/>
    <s v="Excel add-in blocked by security policy. Reported by James from Finance."/>
    <b v="0"/>
    <b v="0"/>
  </r>
  <r>
    <n v="896"/>
    <d v="2024-03-02T21:30:27"/>
    <d v="2024-03-03T02:50:02"/>
    <x v="10"/>
    <x v="1"/>
    <x v="3"/>
    <x v="0"/>
    <x v="4"/>
    <n v="4"/>
    <s v="Sales"/>
    <s v="network"/>
    <s v="Email signatures disappeared for sales team."/>
    <s v="Email signatures disappeared for sales team. Reported by Paul from Finance."/>
    <b v="0"/>
    <b v="0"/>
  </r>
  <r>
    <n v="897"/>
    <d v="2024-03-02T21:48:50"/>
    <d v="2024-03-02T23:20:11"/>
    <x v="811"/>
    <x v="1"/>
    <x v="0"/>
    <x v="1"/>
    <x v="4"/>
    <n v="1"/>
    <s v="IT"/>
    <s v="network"/>
    <s v="Customer portal SSO redirects to blank page."/>
    <s v="Customer portal SSO redirects to blank page. Reported by Timothy from Operations."/>
    <b v="0"/>
    <b v="0"/>
  </r>
  <r>
    <n v="898"/>
    <d v="2024-03-02T23:03:02"/>
    <d v="2024-03-03T01:43:25"/>
    <x v="812"/>
    <x v="0"/>
    <x v="1"/>
    <x v="1"/>
    <x v="0"/>
    <n v="7"/>
    <s v="Warehouse"/>
    <s v="business-apps"/>
    <s v="Suspicious login alert triggered for finance user."/>
    <s v="Suspicious login alert triggered for finance user. Reported by John from HR."/>
    <b v="0"/>
    <b v="0"/>
  </r>
  <r>
    <n v="899"/>
    <d v="2024-03-03T01:17:14"/>
    <d v="2024-03-03T08:56:57"/>
    <x v="813"/>
    <x v="1"/>
    <x v="0"/>
    <x v="0"/>
    <x v="0"/>
    <n v="4"/>
    <s v="Warehouse"/>
    <s v="business-apps"/>
    <s v="Email signatures disappeared for sales team."/>
    <s v="Email signatures disappeared for sales team. Reported by Ashley from HR."/>
    <b v="0"/>
    <b v="0"/>
  </r>
  <r>
    <n v="900"/>
    <d v="2024-03-03T02:58:17"/>
    <d v="2024-03-03T04:59:20"/>
    <x v="814"/>
    <x v="0"/>
    <x v="0"/>
    <x v="0"/>
    <x v="6"/>
    <n v="3"/>
    <s v="Warehouse"/>
    <s v="identity"/>
    <s v="ERP role request approved but not applied."/>
    <s v="ERP role request approved but not applied. Reported by Bailey from Sales."/>
    <b v="0"/>
    <b v="0"/>
  </r>
  <r>
    <n v="901"/>
    <d v="2024-03-03T08:24:59"/>
    <d v="2024-03-03T15:03:48"/>
    <x v="815"/>
    <x v="1"/>
    <x v="1"/>
    <x v="1"/>
    <x v="1"/>
    <n v="3"/>
    <s v="IT"/>
    <s v="voice"/>
    <s v="Suspicious login alert triggered for finance user."/>
    <s v="Suspicious login alert triggered for finance user. Reported by Victoria from Finance."/>
    <b v="0"/>
    <b v="0"/>
  </r>
  <r>
    <n v="902"/>
    <d v="2024-03-03T08:55:27"/>
    <d v="2024-03-04T01:12:30"/>
    <x v="816"/>
    <x v="2"/>
    <x v="0"/>
    <x v="0"/>
    <x v="6"/>
    <n v="3"/>
    <s v="Operations"/>
    <s v="identity"/>
    <s v="Distribution center users cannot reach file server."/>
    <s v="Distribution center users cannot reach file server. Reported by Kenneth from Sales."/>
    <b v="0"/>
    <b v="0"/>
  </r>
  <r>
    <n v="903"/>
    <d v="2024-03-03T09:01:34"/>
    <d v="2024-03-03T23:34:10"/>
    <x v="10"/>
    <x v="2"/>
    <x v="3"/>
    <x v="2"/>
    <x v="2"/>
    <n v="4"/>
    <s v="Finance"/>
    <s v="saas"/>
    <s v="Power BI refresh failing after service account rotation."/>
    <s v="Power BI refresh failing after service account rotation. Reported by Tiffany from Operations."/>
    <b v="1"/>
    <b v="0"/>
  </r>
  <r>
    <n v="904"/>
    <d v="2024-03-03T09:21:43"/>
    <d v="2024-03-04T02:55:07"/>
    <x v="817"/>
    <x v="2"/>
    <x v="0"/>
    <x v="1"/>
    <x v="2"/>
    <n v="7"/>
    <s v="Sales"/>
    <s v="saas"/>
    <s v="Payroll batch job missed scheduled overnight window."/>
    <s v="Payroll batch job missed scheduled overnight window. Reported by Dominique from HR."/>
    <b v="0"/>
    <b v="0"/>
  </r>
  <r>
    <n v="905"/>
    <d v="2024-03-03T13:32:50"/>
    <d v="2024-03-03T15:02:36"/>
    <x v="10"/>
    <x v="3"/>
    <x v="2"/>
    <x v="2"/>
    <x v="4"/>
    <n v="2"/>
    <s v="Warehouse"/>
    <s v="network"/>
    <s v="Teams calls dropping audio after two minutes."/>
    <s v="Teams calls dropping audio after two minutes. Reported by Joshua from Operations."/>
    <b v="1"/>
    <b v="0"/>
  </r>
  <r>
    <n v="906"/>
    <d v="2024-03-03T13:48:55"/>
    <d v="2024-03-03T18:07:43"/>
    <x v="818"/>
    <x v="1"/>
    <x v="0"/>
    <x v="2"/>
    <x v="5"/>
    <n v="5"/>
    <s v="Operations"/>
    <s v="endpoint"/>
    <s v="MFA push not arriving on replacement phone."/>
    <s v="MFA push not arriving on replacement phone. Reported by Ashlee from Operations."/>
    <b v="0"/>
    <b v="0"/>
  </r>
  <r>
    <n v="907"/>
    <d v="2024-03-03T14:19:39"/>
    <d v="2024-03-03T16:25:39"/>
    <x v="819"/>
    <x v="0"/>
    <x v="0"/>
    <x v="1"/>
    <x v="0"/>
    <n v="10"/>
    <s v="HR"/>
    <s v="business-apps"/>
    <s v="Sales laptop webcam missing from device manager."/>
    <s v="Sales laptop webcam missing from device manager. Reported by Gina from Finance."/>
    <b v="0"/>
    <b v="0"/>
  </r>
  <r>
    <n v="908"/>
    <d v="2024-03-03T14:34:56"/>
    <d v="2024-03-03T19:46:10"/>
    <x v="820"/>
    <x v="1"/>
    <x v="0"/>
    <x v="3"/>
    <x v="6"/>
    <n v="10"/>
    <s v="IT"/>
    <s v="identity"/>
    <s v="CEO calendar delegate can no longer edit events."/>
    <s v="CEO calendar delegate can no longer edit events. Reported by Julie from Warehouse."/>
    <b v="1"/>
    <b v="0"/>
  </r>
  <r>
    <n v="909"/>
    <d v="2024-03-03T18:32:25"/>
    <d v="2024-03-04T01:57:36"/>
    <x v="10"/>
    <x v="1"/>
    <x v="3"/>
    <x v="1"/>
    <x v="7"/>
    <n v="9"/>
    <s v="Sales"/>
    <s v="peripherals"/>
    <s v="Shared mailbox permissions disappeared overnight."/>
    <s v="Shared mailbox permissions disappeared overnight. Reported by Brandon from Sales."/>
    <b v="0"/>
    <b v="0"/>
  </r>
  <r>
    <n v="910"/>
    <d v="2024-03-03T18:49:01"/>
    <d v="2024-03-04T01:43:40"/>
    <x v="821"/>
    <x v="2"/>
    <x v="0"/>
    <x v="2"/>
    <x v="7"/>
    <n v="3"/>
    <s v="HR"/>
    <s v="peripherals"/>
    <s v="Suspicious login alert triggered for finance user."/>
    <s v="Suspicious login alert triggered for finance user. Reported by Catherine from Finance."/>
    <b v="0"/>
    <b v="0"/>
  </r>
  <r>
    <n v="911"/>
    <d v="2024-03-03T19:42:24"/>
    <d v="2024-03-03T21:39:21"/>
    <x v="822"/>
    <x v="1"/>
    <x v="0"/>
    <x v="3"/>
    <x v="3"/>
    <n v="2"/>
    <s v="Operations"/>
    <s v="security"/>
    <s v="Email quarantine released but message still missing."/>
    <s v="Email quarantine released but message still missing. Reported by Tyler from Finance."/>
    <b v="0"/>
    <b v="0"/>
  </r>
  <r>
    <n v="912"/>
    <d v="2024-03-03T20:56:19"/>
    <d v="2024-03-03T23:02:27"/>
    <x v="823"/>
    <x v="1"/>
    <x v="0"/>
    <x v="2"/>
    <x v="3"/>
    <n v="9"/>
    <s v="Warehouse"/>
    <s v="security"/>
    <s v="Teams channels inaccessible during tenant incident."/>
    <s v="Teams channels inaccessible during tenant incident. Reported by Rebecca from HR."/>
    <b v="0"/>
    <b v="0"/>
  </r>
  <r>
    <n v="913"/>
    <d v="2024-03-03T22:03:42"/>
    <d v="2024-03-04T03:57:21"/>
    <x v="824"/>
    <x v="1"/>
    <x v="1"/>
    <x v="0"/>
    <x v="1"/>
    <n v="5"/>
    <s v="IT"/>
    <s v="voice"/>
    <s v="CEO calendar delegate can no longer edit events."/>
    <s v="CEO calendar delegate can no longer edit events. Reported by Justin from HR."/>
    <b v="0"/>
    <b v="0"/>
  </r>
  <r>
    <n v="914"/>
    <d v="2024-03-04T06:49:13"/>
    <d v="2024-03-04T11:19:00"/>
    <x v="10"/>
    <x v="2"/>
    <x v="3"/>
    <x v="0"/>
    <x v="5"/>
    <n v="5"/>
    <s v="Warehouse"/>
    <s v="endpoint"/>
    <s v="Mailbox forwarding rule recreated after removal."/>
    <s v="Mailbox forwarding rule recreated after removal. Reported by Lauren from Operations."/>
    <b v="0"/>
    <b v="0"/>
  </r>
  <r>
    <n v="915"/>
    <d v="2024-03-04T10:21:13"/>
    <d v="2024-03-04T13:06:35"/>
    <x v="825"/>
    <x v="0"/>
    <x v="1"/>
    <x v="0"/>
    <x v="3"/>
    <n v="5"/>
    <s v="Operations"/>
    <s v="security"/>
    <s v="ERP role request approved but not applied."/>
    <s v="ERP role request approved but not applied. Reported by Catherine from Warehouse."/>
    <b v="0"/>
    <b v="0"/>
  </r>
  <r>
    <n v="916"/>
    <d v="2024-03-04T11:43:19"/>
    <d v="2024-03-05T07:11:42"/>
    <x v="826"/>
    <x v="2"/>
    <x v="0"/>
    <x v="0"/>
    <x v="0"/>
    <n v="2"/>
    <s v="Warehouse"/>
    <s v="business-apps"/>
    <s v="Intune enrollment stuck on compliance evaluation."/>
    <s v="Intune enrollment stuck on compliance evaluation. Reported by Michael from Operations."/>
    <b v="0"/>
    <b v="0"/>
  </r>
  <r>
    <n v="917"/>
    <d v="2024-03-04T12:11:23"/>
    <d v="2024-03-04T17:08:47"/>
    <x v="827"/>
    <x v="1"/>
    <x v="1"/>
    <x v="1"/>
    <x v="6"/>
    <n v="8"/>
    <s v="Finance"/>
    <s v="identity"/>
    <s v="Scanner cradle not charging overnight."/>
    <s v="Scanner cradle not charging overnight. Reported by Dana from Sales."/>
    <b v="0"/>
    <b v="0"/>
  </r>
  <r>
    <n v="918"/>
    <d v="2024-03-04T14:13:43"/>
    <d v="2024-03-04T15:11:22"/>
    <x v="828"/>
    <x v="0"/>
    <x v="0"/>
    <x v="0"/>
    <x v="1"/>
    <n v="3"/>
    <s v="IT"/>
    <s v="voice"/>
    <s v="Teams calls dropping audio after two minutes."/>
    <s v="Teams calls dropping audio after two minutes. Reported by Christine from HR."/>
    <b v="0"/>
    <b v="0"/>
  </r>
  <r>
    <n v="919"/>
    <d v="2024-03-04T15:58:18"/>
    <d v="2024-03-04T20:26:44"/>
    <x v="829"/>
    <x v="2"/>
    <x v="0"/>
    <x v="2"/>
    <x v="3"/>
    <n v="3"/>
    <s v="Warehouse"/>
    <s v="security"/>
    <s v="Payroll batch job missed scheduled overnight window."/>
    <s v="Payroll batch job missed scheduled overnight window. Reported by Erica from Operations."/>
    <b v="0"/>
    <b v="0"/>
  </r>
  <r>
    <n v="920"/>
    <d v="2024-03-04T19:47:03"/>
    <d v="2024-03-04T21:11:36"/>
    <x v="830"/>
    <x v="3"/>
    <x v="0"/>
    <x v="3"/>
    <x v="4"/>
    <n v="8"/>
    <s v="Finance"/>
    <s v="network"/>
    <s v="Print queue stalled for shipping label batch."/>
    <s v="Print queue stalled for shipping label batch. Reported by Jennifer from Sales."/>
    <b v="1"/>
    <b v="0"/>
  </r>
  <r>
    <n v="921"/>
    <d v="2024-03-04T20:07:17"/>
    <d v="2024-03-05T14:02:08"/>
    <x v="831"/>
    <x v="2"/>
    <x v="1"/>
    <x v="0"/>
    <x v="1"/>
    <n v="8"/>
    <s v="Operations"/>
    <s v="voice"/>
    <s v="Payroll batch job missed scheduled overnight window."/>
    <s v="Payroll batch job missed scheduled overnight window. Reported by Donna from HR."/>
    <b v="0"/>
    <b v="0"/>
  </r>
  <r>
    <n v="922"/>
    <d v="2024-03-04T20:11:26"/>
    <d v="2024-03-04T22:46:10"/>
    <x v="832"/>
    <x v="0"/>
    <x v="0"/>
    <x v="2"/>
    <x v="7"/>
    <n v="9"/>
    <s v="Warehouse"/>
    <s v="peripherals"/>
    <s v="Distribution center users cannot reach file server."/>
    <s v="Distribution center users cannot reach file server. Reported by Mary from HR."/>
    <b v="0"/>
    <b v="0"/>
  </r>
  <r>
    <n v="923"/>
    <d v="2024-03-04T22:25:03"/>
    <d v="2024-03-05T05:14:31"/>
    <x v="833"/>
    <x v="1"/>
    <x v="1"/>
    <x v="3"/>
    <x v="2"/>
    <n v="8"/>
    <s v="Operations"/>
    <s v="saas"/>
    <s v="Single sign-on to HRIS returns invalid relay state."/>
    <s v="Single sign-on to HRIS returns invalid relay state. Reported by Courtney from Operations."/>
    <b v="0"/>
    <b v="0"/>
  </r>
  <r>
    <n v="924"/>
    <d v="2024-03-05T00:17:42"/>
    <d v="2024-03-05T03:42:43"/>
    <x v="834"/>
    <x v="1"/>
    <x v="0"/>
    <x v="0"/>
    <x v="5"/>
    <n v="1"/>
    <s v="Sales"/>
    <s v="endpoint"/>
    <s v="Excel add-in blocked by security policy."/>
    <s v="Excel add-in blocked by security policy. Reported by Rebecca from Warehouse."/>
    <b v="0"/>
    <b v="0"/>
  </r>
  <r>
    <n v="925"/>
    <d v="2024-03-05T03:15:44"/>
    <d v="2024-03-05T09:56:49"/>
    <x v="835"/>
    <x v="2"/>
    <x v="0"/>
    <x v="0"/>
    <x v="7"/>
    <n v="5"/>
    <s v="Sales"/>
    <s v="peripherals"/>
    <s v="Email search indexing incomplete after migration."/>
    <s v="Email search indexing incomplete after migration. Reported by Debbie from Operations."/>
    <b v="0"/>
    <b v="0"/>
  </r>
  <r>
    <n v="926"/>
    <d v="2024-03-05T03:23:07"/>
    <d v="2024-03-05T21:35:30"/>
    <x v="836"/>
    <x v="2"/>
    <x v="0"/>
    <x v="0"/>
    <x v="1"/>
    <n v="5"/>
    <s v="Sales"/>
    <s v="voice"/>
    <s v="Conference room display shows no HDMI signal."/>
    <s v="Conference room display shows no HDMI signal. Reported by Kyle from Operations."/>
    <b v="0"/>
    <b v="0"/>
  </r>
  <r>
    <n v="927"/>
    <d v="2024-03-05T06:25:10"/>
    <d v="2024-03-05T15:05:55"/>
    <x v="837"/>
    <x v="2"/>
    <x v="0"/>
    <x v="1"/>
    <x v="5"/>
    <n v="4"/>
    <s v="Sales"/>
    <s v="endpoint"/>
    <s v="Email signatures disappeared for sales team."/>
    <s v="Email signatures disappeared for sales team. Reported by Scott from Warehouse."/>
    <b v="0"/>
    <b v="0"/>
  </r>
  <r>
    <n v="928"/>
    <d v="2024-03-05T06:38:08"/>
    <d v="2024-03-05T13:52:09"/>
    <x v="10"/>
    <x v="1"/>
    <x v="3"/>
    <x v="2"/>
    <x v="6"/>
    <n v="5"/>
    <s v="Finance"/>
    <s v="identity"/>
    <s v="New contractor needs temporary access to WMS."/>
    <s v="New contractor needs temporary access to WMS. Reported by Bethany from Warehouse."/>
    <b v="0"/>
    <b v="0"/>
  </r>
  <r>
    <n v="929"/>
    <d v="2024-03-05T10:17:46"/>
    <d v="2024-03-05T13:17:38"/>
    <x v="838"/>
    <x v="0"/>
    <x v="0"/>
    <x v="3"/>
    <x v="5"/>
    <n v="5"/>
    <s v="HR"/>
    <s v="endpoint"/>
    <s v="Slack notifications delayed for customer support queue."/>
    <s v="Slack notifications delayed for customer support queue. Reported by Jessica from Finance."/>
    <b v="0"/>
    <b v="0"/>
  </r>
  <r>
    <n v="930"/>
    <d v="2024-03-05T11:45:20"/>
    <d v="2024-03-05T16:59:48"/>
    <x v="839"/>
    <x v="1"/>
    <x v="0"/>
    <x v="1"/>
    <x v="4"/>
    <n v="7"/>
    <s v="HR"/>
    <s v="network"/>
    <s v="VPN disconnects every 15 minutes on hotel Wi-Fi."/>
    <s v="VPN disconnects every 15 minutes on hotel Wi-Fi. Reported by Christopher from Finance."/>
    <b v="0"/>
    <b v="0"/>
  </r>
  <r>
    <n v="931"/>
    <d v="2024-03-05T11:53:48"/>
    <d v="2024-03-05T19:34:29"/>
    <x v="840"/>
    <x v="1"/>
    <x v="0"/>
    <x v="2"/>
    <x v="2"/>
    <n v="10"/>
    <s v="IT"/>
    <s v="saas"/>
    <s v="Single sign-on to HRIS returns invalid relay state."/>
    <s v="Single sign-on to HRIS returns invalid relay state. Reported by Kenneth from Operations."/>
    <b v="1"/>
    <b v="0"/>
  </r>
  <r>
    <n v="932"/>
    <d v="2024-03-05T11:54:01"/>
    <d v="2024-03-05T13:10:39"/>
    <x v="841"/>
    <x v="0"/>
    <x v="1"/>
    <x v="3"/>
    <x v="1"/>
    <n v="7"/>
    <s v="Operations"/>
    <s v="voice"/>
    <s v="Password reset loop continues after successful change."/>
    <s v="Password reset loop continues after successful change. Reported by Julie from HR."/>
    <b v="1"/>
    <b v="0"/>
  </r>
  <r>
    <n v="933"/>
    <d v="2024-03-05T12:06:01"/>
    <d v="2024-03-05T15:41:31"/>
    <x v="842"/>
    <x v="2"/>
    <x v="0"/>
    <x v="0"/>
    <x v="1"/>
    <n v="10"/>
    <s v="Warehouse"/>
    <s v="voice"/>
    <s v="Warehouse RF gun drops Wi-Fi in aisle B."/>
    <s v="Warehouse RF gun drops Wi-Fi in aisle B. Reported by Gregory from Operations."/>
    <b v="1"/>
    <b v="0"/>
  </r>
  <r>
    <n v="934"/>
    <d v="2024-03-05T12:23:56"/>
    <d v="2024-03-05T18:00:34"/>
    <x v="843"/>
    <x v="1"/>
    <x v="0"/>
    <x v="1"/>
    <x v="7"/>
    <n v="9"/>
    <s v="HR"/>
    <s v="peripherals"/>
    <s v="Payroll batch job missed scheduled overnight window."/>
    <s v="Payroll batch job missed scheduled overnight window. Reported by David from HR."/>
    <b v="0"/>
    <b v="0"/>
  </r>
  <r>
    <n v="935"/>
    <d v="2024-03-05T13:03:04"/>
    <d v="2024-03-05T14:05:18"/>
    <x v="844"/>
    <x v="3"/>
    <x v="1"/>
    <x v="1"/>
    <x v="5"/>
    <n v="8"/>
    <s v="HR"/>
    <s v="endpoint"/>
    <s v="Citrix launch freezes on black screen."/>
    <s v="Citrix launch freezes on black screen. Reported by Amber from Operations."/>
    <b v="1"/>
    <b v="0"/>
  </r>
  <r>
    <n v="936"/>
    <d v="2024-03-05T18:05:22"/>
    <d v="2024-03-05T22:25:57"/>
    <x v="845"/>
    <x v="2"/>
    <x v="0"/>
    <x v="2"/>
    <x v="5"/>
    <n v="3"/>
    <s v="Sales"/>
    <s v="endpoint"/>
    <s v="Customer portal SSO redirects to blank page."/>
    <s v="Customer portal SSO redirects to blank page. Reported by Teresa from HR."/>
    <b v="0"/>
    <b v="0"/>
  </r>
  <r>
    <n v="937"/>
    <d v="2024-03-05T19:50:25"/>
    <d v="2024-03-05T23:29:02"/>
    <x v="846"/>
    <x v="1"/>
    <x v="0"/>
    <x v="2"/>
    <x v="6"/>
    <n v="6"/>
    <s v="Finance"/>
    <s v="identity"/>
    <s v="Outlook keeps prompting for password on Mac."/>
    <s v="Outlook keeps prompting for password on Mac. Reported by Alyssa from Sales."/>
    <b v="0"/>
    <b v="0"/>
  </r>
  <r>
    <n v="938"/>
    <d v="2024-03-05T21:33:00"/>
    <d v="2024-03-06T05:15:44"/>
    <x v="847"/>
    <x v="2"/>
    <x v="0"/>
    <x v="0"/>
    <x v="3"/>
    <n v="2"/>
    <s v="HR"/>
    <s v="security"/>
    <s v="Finance cannot export month-end AP aging report."/>
    <s v="Finance cannot export month-end AP aging report. Reported by Robin from HR."/>
    <b v="0"/>
    <b v="0"/>
  </r>
  <r>
    <n v="939"/>
    <d v="2024-03-05T21:56:45"/>
    <d v="2024-03-06T00:01:03"/>
    <x v="848"/>
    <x v="0"/>
    <x v="0"/>
    <x v="1"/>
    <x v="5"/>
    <n v="10"/>
    <s v="Operations"/>
    <s v="endpoint"/>
    <s v="Voicemail transcription unavailable in mobile app."/>
    <s v="Voicemail transcription unavailable in mobile app. Reported by Maria from Finance."/>
    <b v="0"/>
    <b v="0"/>
  </r>
  <r>
    <n v="940"/>
    <d v="2024-03-06T06:26:49"/>
    <d v="2024-03-06T13:04:04"/>
    <x v="849"/>
    <x v="1"/>
    <x v="0"/>
    <x v="2"/>
    <x v="1"/>
    <n v="2"/>
    <s v="Finance"/>
    <s v="voice"/>
    <s v="VPN outage reported by remote finance staff."/>
    <s v="VPN outage reported by remote finance staff. Reported by Jonathan from Sales."/>
    <b v="0"/>
    <b v="0"/>
  </r>
  <r>
    <n v="941"/>
    <d v="2024-03-06T07:05:52"/>
    <d v="2024-03-06T08:20:21"/>
    <x v="850"/>
    <x v="1"/>
    <x v="0"/>
    <x v="1"/>
    <x v="0"/>
    <n v="3"/>
    <s v="IT"/>
    <s v="business-apps"/>
    <s v="Label printer feeds blank stock after maintenance."/>
    <s v="Label printer feeds blank stock after maintenance. Reported by Makayla from HR."/>
    <b v="0"/>
    <b v="0"/>
  </r>
  <r>
    <n v="942"/>
    <d v="2024-03-06T08:50:58"/>
    <d v="2024-03-06T11:41:35"/>
    <x v="10"/>
    <x v="1"/>
    <x v="3"/>
    <x v="3"/>
    <x v="2"/>
    <n v="10"/>
    <s v="HR"/>
    <s v="saas"/>
    <s v="VPN client update failed with rollback error."/>
    <s v="VPN client update failed with rollback error. Reported by Timothy from Operations."/>
    <b v="0"/>
    <b v="0"/>
  </r>
  <r>
    <n v="943"/>
    <d v="2024-03-06T08:52:13"/>
    <d v="2024-03-06T18:34:14"/>
    <x v="851"/>
    <x v="2"/>
    <x v="1"/>
    <x v="2"/>
    <x v="1"/>
    <n v="2"/>
    <s v="Warehouse"/>
    <s v="voice"/>
    <s v="Teams meeting room camera flickers after restart."/>
    <s v="Teams meeting room camera flickers after restart. Reported by Lindsay from Sales."/>
    <b v="0"/>
    <b v="0"/>
  </r>
  <r>
    <n v="944"/>
    <d v="2024-03-06T09:48:47"/>
    <d v="2024-03-06T16:29:32"/>
    <x v="10"/>
    <x v="1"/>
    <x v="2"/>
    <x v="3"/>
    <x v="5"/>
    <n v="6"/>
    <s v="Finance"/>
    <s v="endpoint"/>
    <s v="Warehouse RF gun drops Wi-Fi in aisle B."/>
    <s v="Warehouse RF gun drops Wi-Fi in aisle B. Reported by Julie from Finance."/>
    <b v="0"/>
    <b v="0"/>
  </r>
  <r>
    <n v="945"/>
    <d v="2024-03-06T09:57:44"/>
    <d v="2024-03-06T12:44:00"/>
    <x v="852"/>
    <x v="1"/>
    <x v="0"/>
    <x v="0"/>
    <x v="2"/>
    <n v="6"/>
    <s v="IT"/>
    <s v="saas"/>
    <s v="SSO certificate warning shown on benefits portal."/>
    <s v="SSO certificate warning shown on benefits portal. Reported by Matthew from Sales."/>
    <b v="0"/>
    <b v="0"/>
  </r>
  <r>
    <n v="946"/>
    <d v="2024-03-06T10:40:27"/>
    <d v="2024-03-06T12:09:03"/>
    <x v="853"/>
    <x v="3"/>
    <x v="0"/>
    <x v="0"/>
    <x v="4"/>
    <n v="3"/>
    <s v="Warehouse"/>
    <s v="network"/>
    <s v="New hire missing access to onboarding portal."/>
    <s v="New hire missing access to onboarding portal. Reported by Darius from Operations."/>
    <b v="1"/>
    <b v="0"/>
  </r>
  <r>
    <n v="947"/>
    <d v="2024-03-06T14:21:26"/>
    <d v="2024-03-06T15:32:44"/>
    <x v="854"/>
    <x v="1"/>
    <x v="0"/>
    <x v="0"/>
    <x v="5"/>
    <n v="4"/>
    <s v="Sales"/>
    <s v="endpoint"/>
    <s v="Distribution center users cannot reach file server."/>
    <s v="Distribution center users cannot reach file server. Reported by Sydney from Operations."/>
    <b v="0"/>
    <b v="0"/>
  </r>
  <r>
    <n v="948"/>
    <d v="2024-03-06T15:15:23"/>
    <d v="2024-03-06T22:03:29"/>
    <x v="855"/>
    <x v="1"/>
    <x v="0"/>
    <x v="0"/>
    <x v="1"/>
    <n v="8"/>
    <s v="Warehouse"/>
    <s v="voice"/>
    <s v="ERP purchase order screen timing out for AP team."/>
    <s v="ERP purchase order screen timing out for AP team. Reported by Donald from HR."/>
    <b v="0"/>
    <b v="0"/>
  </r>
  <r>
    <n v="949"/>
    <d v="2024-03-06T15:22:09"/>
    <d v="2024-03-07T06:46:01"/>
    <x v="856"/>
    <x v="2"/>
    <x v="0"/>
    <x v="2"/>
    <x v="0"/>
    <n v="8"/>
    <s v="HR"/>
    <s v="business-apps"/>
    <s v="Teams calls dropping audio after two minutes."/>
    <s v="Teams calls dropping audio after two minutes. Reported by Tammy from HR."/>
    <b v="0"/>
    <b v="0"/>
  </r>
  <r>
    <n v="950"/>
    <d v="2024-03-06T17:07:31"/>
    <d v="2024-03-06T21:33:30"/>
    <x v="857"/>
    <x v="1"/>
    <x v="0"/>
    <x v="0"/>
    <x v="5"/>
    <n v="6"/>
    <s v="Warehouse"/>
    <s v="endpoint"/>
    <s v="Scanner cradle not charging overnight."/>
    <s v="Scanner cradle not charging overnight. Reported by Michelle from Operations."/>
    <b v="0"/>
    <b v="0"/>
  </r>
  <r>
    <n v="951"/>
    <d v="2024-03-06T19:55:17"/>
    <d v="2024-03-06T21:53:59"/>
    <x v="858"/>
    <x v="1"/>
    <x v="0"/>
    <x v="1"/>
    <x v="6"/>
    <n v="6"/>
    <s v="Warehouse"/>
    <s v="identity"/>
    <s v="Outlook keeps prompting for password on Mac."/>
    <s v="Outlook keeps prompting for password on Mac. Reported by Jennifer from Warehouse."/>
    <b v="0"/>
    <b v="0"/>
  </r>
  <r>
    <n v="952"/>
    <d v="2024-03-06T20:56:54"/>
    <d v="2024-03-06T22:11:12"/>
    <x v="859"/>
    <x v="1"/>
    <x v="0"/>
    <x v="3"/>
    <x v="4"/>
    <n v="4"/>
    <s v="IT"/>
    <s v="network"/>
    <s v="Spam burst hit shared support inbox this morning."/>
    <s v="Spam burst hit shared support inbox this morning. Reported by Tina from Operations."/>
    <b v="0"/>
    <b v="0"/>
  </r>
  <r>
    <n v="953"/>
    <d v="2024-03-06T21:30:54"/>
    <d v="2024-03-07T05:07:25"/>
    <x v="860"/>
    <x v="1"/>
    <x v="0"/>
    <x v="1"/>
    <x v="3"/>
    <n v="7"/>
    <s v="Warehouse"/>
    <s v="security"/>
    <s v="Mailbox forwarding rule recreated after removal."/>
    <s v="Mailbox forwarding rule recreated after removal. Reported by Tammy from Sales."/>
    <b v="0"/>
    <b v="0"/>
  </r>
  <r>
    <n v="954"/>
    <d v="2024-03-07T01:25:10"/>
    <d v="2024-03-07T07:32:10"/>
    <x v="861"/>
    <x v="1"/>
    <x v="0"/>
    <x v="2"/>
    <x v="5"/>
    <n v="1"/>
    <s v="IT"/>
    <s v="endpoint"/>
    <s v="New contractor needs temporary access to WMS."/>
    <s v="New contractor needs temporary access to WMS. Reported by Linda from Finance."/>
    <b v="0"/>
    <b v="0"/>
  </r>
  <r>
    <n v="955"/>
    <d v="2024-03-07T02:46:35"/>
    <d v="2024-03-07T13:50:58"/>
    <x v="10"/>
    <x v="2"/>
    <x v="2"/>
    <x v="3"/>
    <x v="7"/>
    <n v="1"/>
    <s v="HR"/>
    <s v="peripherals"/>
    <s v="Docking station no longer drives dual monitors."/>
    <s v="Docking station no longer drives dual monitors. Reported by Michael from Warehouse."/>
    <b v="0"/>
    <b v="0"/>
  </r>
  <r>
    <n v="956"/>
    <d v="2024-03-07T03:02:17"/>
    <d v="2024-03-07T20:53:40"/>
    <x v="862"/>
    <x v="2"/>
    <x v="0"/>
    <x v="1"/>
    <x v="6"/>
    <n v="8"/>
    <s v="Finance"/>
    <s v="identity"/>
    <s v="Payroll batch job missed scheduled overnight window."/>
    <s v="Payroll batch job missed scheduled overnight window. Reported by Krystal from Finance."/>
    <b v="0"/>
    <b v="0"/>
  </r>
  <r>
    <n v="957"/>
    <d v="2024-03-07T03:02:17"/>
    <d v="2024-03-07T08:29:22"/>
    <x v="863"/>
    <x v="1"/>
    <x v="0"/>
    <x v="1"/>
    <x v="4"/>
    <n v="2"/>
    <s v="IT"/>
    <s v="network"/>
    <s v="Docking station no longer drives dual monitors."/>
    <s v="Docking station no longer drives dual monitors. Reported by Alexander from HR."/>
    <b v="0"/>
    <b v="0"/>
  </r>
  <r>
    <n v="958"/>
    <d v="2024-03-07T04:12:57"/>
    <d v="2024-03-07T11:17:53"/>
    <x v="864"/>
    <x v="1"/>
    <x v="0"/>
    <x v="0"/>
    <x v="0"/>
    <n v="8"/>
    <s v="Warehouse"/>
    <s v="business-apps"/>
    <s v="Finance cannot export month-end AP aging report."/>
    <s v="Finance cannot export month-end AP aging report. Reported by Amanda from HR."/>
    <b v="0"/>
    <b v="0"/>
  </r>
  <r>
    <n v="959"/>
    <d v="2024-03-07T05:18:01"/>
    <d v="2024-03-07T06:41:43"/>
    <x v="865"/>
    <x v="0"/>
    <x v="0"/>
    <x v="1"/>
    <x v="5"/>
    <n v="1"/>
    <s v="Sales"/>
    <s v="endpoint"/>
    <s v="Spam burst hit shared support inbox this morning."/>
    <s v="Spam burst hit shared support inbox this morning. Reported by Shawn from Operations."/>
    <b v="0"/>
    <b v="0"/>
  </r>
  <r>
    <n v="960"/>
    <d v="2024-03-07T05:49:05"/>
    <d v="2024-03-07T19:21:57"/>
    <x v="866"/>
    <x v="2"/>
    <x v="0"/>
    <x v="0"/>
    <x v="2"/>
    <n v="3"/>
    <s v="Sales"/>
    <s v="saas"/>
    <s v="Shared mailbox permissions disappeared overnight."/>
    <s v="Shared mailbox permissions disappeared overnight. Reported by Emily from Warehouse."/>
    <b v="0"/>
    <b v="0"/>
  </r>
  <r>
    <n v="961"/>
    <d v="2024-03-07T09:06:42"/>
    <d v="2024-03-07T16:47:09"/>
    <x v="867"/>
    <x v="1"/>
    <x v="0"/>
    <x v="0"/>
    <x v="4"/>
    <n v="10"/>
    <s v="Operations"/>
    <s v="network"/>
    <s v="ERP purchase order screen timing out for AP team."/>
    <s v="ERP purchase order screen timing out for AP team. Reported by Emily from Operations."/>
    <b v="0"/>
    <b v="0"/>
  </r>
  <r>
    <n v="962"/>
    <d v="2024-03-07T16:29:20"/>
    <d v="2024-03-07T20:52:28"/>
    <x v="868"/>
    <x v="1"/>
    <x v="0"/>
    <x v="0"/>
    <x v="6"/>
    <n v="3"/>
    <s v="IT"/>
    <s v="identity"/>
    <s v="VPN disconnects every 15 minutes on hotel Wi-Fi."/>
    <s v="VPN disconnects every 15 minutes on hotel Wi-Fi. Reported by Brenda from Warehouse."/>
    <b v="0"/>
    <b v="0"/>
  </r>
  <r>
    <n v="963"/>
    <d v="2024-03-07T16:32:13"/>
    <d v="2024-03-07T21:24:05"/>
    <x v="869"/>
    <x v="2"/>
    <x v="0"/>
    <x v="1"/>
    <x v="6"/>
    <n v="10"/>
    <s v="Finance"/>
    <s v="identity"/>
    <s v="Single sign-on to HRIS returns invalid relay state."/>
    <s v="Single sign-on to HRIS returns invalid relay state. Reported by Lynn from Sales."/>
    <b v="0"/>
    <b v="0"/>
  </r>
  <r>
    <n v="964"/>
    <d v="2024-03-07T18:31:27"/>
    <d v="2024-03-07T21:57:14"/>
    <x v="870"/>
    <x v="1"/>
    <x v="0"/>
    <x v="0"/>
    <x v="5"/>
    <n v="3"/>
    <s v="Warehouse"/>
    <s v="endpoint"/>
    <s v="Suspicious login alert triggered for finance user."/>
    <s v="Suspicious login alert triggered for finance user. Reported by Shelby from Sales."/>
    <b v="0"/>
    <b v="0"/>
  </r>
  <r>
    <n v="965"/>
    <d v="2024-03-07T19:38:21"/>
    <d v="2024-03-08T13:57:53"/>
    <x v="871"/>
    <x v="2"/>
    <x v="0"/>
    <x v="2"/>
    <x v="7"/>
    <n v="7"/>
    <s v="Operations"/>
    <s v="peripherals"/>
    <s v="Teams calls dropping audio after two minutes."/>
    <s v="Teams calls dropping audio after two minutes. Reported by Daniel from Operations."/>
    <b v="0"/>
    <b v="0"/>
  </r>
  <r>
    <n v="966"/>
    <d v="2024-03-07T22:21:49"/>
    <d v="2024-03-08T05:20:01"/>
    <x v="10"/>
    <x v="1"/>
    <x v="2"/>
    <x v="2"/>
    <x v="6"/>
    <n v="7"/>
    <s v="HR"/>
    <s v="identity"/>
    <s v="VPN client update failed with rollback error."/>
    <s v="VPN client update failed with rollback error. Reported by Jesus from Finance."/>
    <b v="0"/>
    <b v="0"/>
  </r>
  <r>
    <n v="967"/>
    <d v="2024-03-07T22:25:30"/>
    <d v="2024-03-08T06:04:11"/>
    <x v="872"/>
    <x v="1"/>
    <x v="0"/>
    <x v="0"/>
    <x v="0"/>
    <n v="7"/>
    <s v="HR"/>
    <s v="business-apps"/>
    <s v="Phone soft client cannot register after ISP change."/>
    <s v="Phone soft client cannot register after ISP change. Reported by Angel from Operations."/>
    <b v="0"/>
    <b v="0"/>
  </r>
  <r>
    <n v="968"/>
    <d v="2024-03-07T22:28:56"/>
    <d v="2024-03-07T23:05:39"/>
    <x v="873"/>
    <x v="0"/>
    <x v="0"/>
    <x v="0"/>
    <x v="6"/>
    <n v="3"/>
    <s v="Sales"/>
    <s v="identity"/>
    <s v="VPN client update failed with rollback error."/>
    <s v="VPN client update failed with rollback error. Reported by Nicole from Finance."/>
    <b v="1"/>
    <b v="0"/>
  </r>
  <r>
    <n v="969"/>
    <d v="2024-03-08T02:37:45"/>
    <d v="2024-03-08T08:10:28"/>
    <x v="874"/>
    <x v="1"/>
    <x v="0"/>
    <x v="1"/>
    <x v="5"/>
    <n v="8"/>
    <s v="Warehouse"/>
    <s v="endpoint"/>
    <s v="Print queue stalled for shipping label batch."/>
    <s v="Print queue stalled for shipping label batch. Reported by Anna from Operations."/>
    <b v="0"/>
    <b v="0"/>
  </r>
  <r>
    <n v="970"/>
    <d v="2024-03-08T03:21:32"/>
    <d v="2024-03-08T09:18:49"/>
    <x v="875"/>
    <x v="1"/>
    <x v="0"/>
    <x v="3"/>
    <x v="5"/>
    <n v="4"/>
    <s v="HR"/>
    <s v="endpoint"/>
    <s v="Docking station no longer drives dual monitors."/>
    <s v="Docking station no longer drives dual monitors. Reported by Rose from Sales."/>
    <b v="0"/>
    <b v="0"/>
  </r>
  <r>
    <n v="971"/>
    <d v="2024-03-08T06:40:47"/>
    <d v="2024-03-08T12:06:06"/>
    <x v="10"/>
    <x v="2"/>
    <x v="2"/>
    <x v="1"/>
    <x v="4"/>
    <n v="9"/>
    <s v="IT"/>
    <s v="network"/>
    <s v="Suspicious login alert triggered for finance user."/>
    <s v="Suspicious login alert triggered for finance user. Reported by Jeffrey from HR."/>
    <b v="1"/>
    <b v="0"/>
  </r>
  <r>
    <n v="972"/>
    <d v="2024-03-08T06:58:05"/>
    <d v="2024-03-08T19:39:23"/>
    <x v="876"/>
    <x v="2"/>
    <x v="0"/>
    <x v="1"/>
    <x v="7"/>
    <n v="4"/>
    <s v="HR"/>
    <s v="peripherals"/>
    <s v="Spam burst hit shared support inbox this morning."/>
    <s v="Spam burst hit shared support inbox this morning. Reported by Bryan from Sales."/>
    <b v="0"/>
    <b v="0"/>
  </r>
  <r>
    <n v="973"/>
    <d v="2024-03-08T13:52:34"/>
    <d v="2024-03-08T20:37:39"/>
    <x v="10"/>
    <x v="1"/>
    <x v="2"/>
    <x v="0"/>
    <x v="2"/>
    <n v="9"/>
    <s v="Finance"/>
    <s v="saas"/>
    <s v="Label printer feeds blank stock after maintenance."/>
    <s v="Label printer feeds blank stock after maintenance. Reported by Madison from Warehouse."/>
    <b v="0"/>
    <b v="0"/>
  </r>
  <r>
    <n v="974"/>
    <d v="2024-03-08T14:03:26"/>
    <d v="2024-03-08T20:11:40"/>
    <x v="877"/>
    <x v="1"/>
    <x v="0"/>
    <x v="0"/>
    <x v="6"/>
    <n v="10"/>
    <s v="Operations"/>
    <s v="identity"/>
    <s v="Email search indexing incomplete after migration."/>
    <s v="Email search indexing incomplete after migration. Reported by Regina from Finance."/>
    <b v="0"/>
    <b v="0"/>
  </r>
  <r>
    <n v="975"/>
    <d v="2024-03-08T14:13:44"/>
    <d v="2024-03-08T17:54:13"/>
    <x v="878"/>
    <x v="1"/>
    <x v="0"/>
    <x v="2"/>
    <x v="5"/>
    <n v="8"/>
    <s v="Operations"/>
    <s v="endpoint"/>
    <s v="Mailbox forwarding rule recreated after removal."/>
    <s v="Mailbox forwarding rule recreated after removal. Reported by Kevin from Finance."/>
    <b v="0"/>
    <b v="0"/>
  </r>
  <r>
    <n v="976"/>
    <d v="2024-03-08T16:09:41"/>
    <d v="2024-03-08T18:05:50"/>
    <x v="879"/>
    <x v="1"/>
    <x v="0"/>
    <x v="3"/>
    <x v="4"/>
    <n v="5"/>
    <s v="Sales"/>
    <s v="network"/>
    <s v="Laptop blue-screened during payroll export."/>
    <s v="Laptop blue-screened during payroll export. Reported by Ricky from Warehouse."/>
    <b v="0"/>
    <b v="0"/>
  </r>
  <r>
    <n v="977"/>
    <d v="2024-03-08T16:44:40"/>
    <d v="2024-03-09T08:23:29"/>
    <x v="880"/>
    <x v="2"/>
    <x v="0"/>
    <x v="0"/>
    <x v="4"/>
    <n v="5"/>
    <s v="Operations"/>
    <s v="network"/>
    <s v="New hire missing access to onboarding portal."/>
    <s v="New hire missing access to onboarding portal. Reported by Donald from Finance."/>
    <b v="0"/>
    <b v="0"/>
  </r>
  <r>
    <n v="978"/>
    <d v="2024-03-08T18:33:39"/>
    <d v="2024-03-08T19:50:16"/>
    <x v="881"/>
    <x v="0"/>
    <x v="1"/>
    <x v="0"/>
    <x v="0"/>
    <n v="4"/>
    <s v="HR"/>
    <s v="business-apps"/>
    <s v="Procurement team reports ERP attachments missing."/>
    <s v="Procurement team reports ERP attachments missing. Reported by Sophia from Sales."/>
    <b v="0"/>
    <b v="0"/>
  </r>
  <r>
    <n v="979"/>
    <d v="2024-03-08T21:52:02"/>
    <d v="2024-03-09T12:29:56"/>
    <x v="882"/>
    <x v="2"/>
    <x v="0"/>
    <x v="1"/>
    <x v="4"/>
    <n v="4"/>
    <s v="Operations"/>
    <s v="network"/>
    <s v="Service account password expired on integration job."/>
    <s v="Service account password expired on integration job. Reported by Kevin from Warehouse."/>
    <b v="0"/>
    <b v="0"/>
  </r>
  <r>
    <n v="980"/>
    <d v="2024-03-09T01:57:01"/>
    <d v="2024-03-09T04:25:05"/>
    <x v="10"/>
    <x v="0"/>
    <x v="3"/>
    <x v="2"/>
    <x v="7"/>
    <n v="5"/>
    <s v="Warehouse"/>
    <s v="peripherals"/>
    <s v="BitLocker recovery key prompt appears at boot."/>
    <s v="BitLocker recovery key prompt appears at boot. Reported by Travis from Sales."/>
    <b v="0"/>
    <b v="0"/>
  </r>
  <r>
    <n v="981"/>
    <d v="2024-03-09T02:11:38"/>
    <d v="2024-03-09T03:52:46"/>
    <x v="883"/>
    <x v="1"/>
    <x v="0"/>
    <x v="2"/>
    <x v="4"/>
    <n v="5"/>
    <s v="Warehouse"/>
    <s v="network"/>
    <s v="VPN client update failed with rollback error."/>
    <s v="VPN client update failed with rollback error. Reported by Colton from Sales."/>
    <b v="0"/>
    <b v="0"/>
  </r>
  <r>
    <n v="982"/>
    <d v="2024-03-09T02:56:46"/>
    <d v="2024-03-09T17:52:40"/>
    <x v="884"/>
    <x v="2"/>
    <x v="0"/>
    <x v="1"/>
    <x v="7"/>
    <n v="8"/>
    <s v="IT"/>
    <s v="peripherals"/>
    <s v="Single sign-on to HRIS returns invalid relay state."/>
    <s v="Single sign-on to HRIS returns invalid relay state. Reported by Paige from Sales."/>
    <b v="0"/>
    <b v="0"/>
  </r>
  <r>
    <n v="983"/>
    <d v="2024-03-09T02:57:47"/>
    <d v="2024-03-09T05:28:52"/>
    <x v="10"/>
    <x v="0"/>
    <x v="3"/>
    <x v="2"/>
    <x v="6"/>
    <n v="9"/>
    <s v="Finance"/>
    <s v="identity"/>
    <s v="Distribution center users cannot reach file server."/>
    <s v="Distribution center users cannot reach file server. Reported by Derek from Finance."/>
    <b v="0"/>
    <b v="0"/>
  </r>
  <r>
    <n v="984"/>
    <d v="2024-03-09T03:48:04"/>
    <d v="2024-03-09T11:38:38"/>
    <x v="885"/>
    <x v="1"/>
    <x v="0"/>
    <x v="3"/>
    <x v="1"/>
    <n v="9"/>
    <s v="Operations"/>
    <s v="voice"/>
    <s v="Excel add-in blocked by security policy."/>
    <s v="Excel add-in blocked by security policy. Reported by Shawn from Warehouse."/>
    <b v="0"/>
    <b v="0"/>
  </r>
  <r>
    <n v="985"/>
    <d v="2024-03-09T04:17:49"/>
    <d v="2024-03-09T05:26:18"/>
    <x v="886"/>
    <x v="0"/>
    <x v="0"/>
    <x v="0"/>
    <x v="1"/>
    <n v="7"/>
    <s v="HR"/>
    <s v="voice"/>
    <s v="Password reset loop continues after successful change."/>
    <s v="Password reset loop continues after successful change. Reported by Ellen from Operations."/>
    <b v="0"/>
    <b v="0"/>
  </r>
  <r>
    <n v="986"/>
    <d v="2024-03-09T04:28:42"/>
    <d v="2024-03-09T12:43:05"/>
    <x v="887"/>
    <x v="2"/>
    <x v="1"/>
    <x v="2"/>
    <x v="4"/>
    <n v="10"/>
    <s v="Operations"/>
    <s v="network"/>
    <s v="ERP role request approved but not applied."/>
    <s v="ERP role request approved but not applied. Reported by Julia from Finance."/>
    <b v="0"/>
    <b v="0"/>
  </r>
  <r>
    <n v="987"/>
    <d v="2024-03-09T05:46:00"/>
    <d v="2024-03-09T08:17:51"/>
    <x v="888"/>
    <x v="1"/>
    <x v="0"/>
    <x v="0"/>
    <x v="5"/>
    <n v="9"/>
    <s v="Finance"/>
    <s v="endpoint"/>
    <s v="MFA push not arriving on replacement phone."/>
    <s v="MFA push not arriving on replacement phone. Reported by Sonya from Warehouse."/>
    <b v="0"/>
    <b v="0"/>
  </r>
  <r>
    <n v="988"/>
    <d v="2024-03-09T07:39:38"/>
    <d v="2024-03-09T08:40:13"/>
    <x v="889"/>
    <x v="0"/>
    <x v="0"/>
    <x v="0"/>
    <x v="6"/>
    <n v="5"/>
    <s v="Sales"/>
    <s v="identity"/>
    <s v="New hire missing access to onboarding portal."/>
    <s v="New hire missing access to onboarding portal. Reported by Robert from Operations."/>
    <b v="0"/>
    <b v="0"/>
  </r>
  <r>
    <n v="989"/>
    <d v="2024-03-09T09:01:43"/>
    <d v="2024-03-09T13:55:04"/>
    <x v="890"/>
    <x v="1"/>
    <x v="0"/>
    <x v="0"/>
    <x v="1"/>
    <n v="5"/>
    <s v="IT"/>
    <s v="voice"/>
    <s v="Email search indexing incomplete after migration."/>
    <s v="Email search indexing incomplete after migration. Reported by Julia from Operations."/>
    <b v="0"/>
    <b v="0"/>
  </r>
  <r>
    <n v="990"/>
    <d v="2024-03-09T12:29:05"/>
    <d v="2024-03-09T14:36:32"/>
    <x v="10"/>
    <x v="1"/>
    <x v="3"/>
    <x v="0"/>
    <x v="6"/>
    <n v="5"/>
    <s v="IT"/>
    <s v="identity"/>
    <s v="Teams channels inaccessible during tenant incident."/>
    <s v="Teams channels inaccessible during tenant incident. Reported by Eric from Warehouse."/>
    <b v="0"/>
    <b v="0"/>
  </r>
  <r>
    <n v="991"/>
    <d v="2024-03-09T12:59:36"/>
    <d v="2024-03-09T23:00:29"/>
    <x v="10"/>
    <x v="2"/>
    <x v="2"/>
    <x v="0"/>
    <x v="6"/>
    <n v="1"/>
    <s v="Warehouse"/>
    <s v="identity"/>
    <s v="VPN client update failed with rollback error."/>
    <s v="VPN client update failed with rollback error. Reported by Robert from HR."/>
    <b v="0"/>
    <b v="0"/>
  </r>
  <r>
    <n v="992"/>
    <d v="2024-03-09T13:28:40"/>
    <d v="2024-03-09T14:11:15"/>
    <x v="891"/>
    <x v="0"/>
    <x v="1"/>
    <x v="2"/>
    <x v="6"/>
    <n v="4"/>
    <s v="HR"/>
    <s v="identity"/>
    <s v="Power BI refresh failing after service account rotation."/>
    <s v="Power BI refresh failing after service account rotation. Reported by Corey from Finance."/>
    <b v="0"/>
    <b v="0"/>
  </r>
  <r>
    <n v="993"/>
    <d v="2024-03-09T14:02:20"/>
    <d v="2024-03-09T18:13:20"/>
    <x v="892"/>
    <x v="1"/>
    <x v="0"/>
    <x v="0"/>
    <x v="4"/>
    <n v="4"/>
    <s v="HR"/>
    <s v="network"/>
    <s v="Distribution center users cannot reach file server."/>
    <s v="Distribution center users cannot reach file server. Reported by Tracy from HR."/>
    <b v="0"/>
    <b v="0"/>
  </r>
  <r>
    <n v="994"/>
    <d v="2024-03-09T17:07:11"/>
    <d v="2024-03-09T20:30:34"/>
    <x v="893"/>
    <x v="1"/>
    <x v="0"/>
    <x v="0"/>
    <x v="1"/>
    <n v="8"/>
    <s v="IT"/>
    <s v="voice"/>
    <s v="Label printer feeds blank stock after maintenance."/>
    <s v="Label printer feeds blank stock after maintenance. Reported by Ricky from Finance."/>
    <b v="0"/>
    <b v="0"/>
  </r>
  <r>
    <n v="995"/>
    <d v="2024-03-09T17:58:14"/>
    <d v="2024-03-10T00:58:23"/>
    <x v="894"/>
    <x v="1"/>
    <x v="0"/>
    <x v="2"/>
    <x v="5"/>
    <n v="3"/>
    <s v="Finance"/>
    <s v="endpoint"/>
    <s v="Barcode labels printing with incorrect dimensions."/>
    <s v="Barcode labels printing with incorrect dimensions. Reported by Stephanie from Warehouse."/>
    <b v="0"/>
    <b v="0"/>
  </r>
  <r>
    <n v="996"/>
    <d v="2024-03-09T18:19:10"/>
    <d v="2024-03-10T03:28:17"/>
    <x v="895"/>
    <x v="2"/>
    <x v="0"/>
    <x v="0"/>
    <x v="0"/>
    <n v="7"/>
    <s v="Operations"/>
    <s v="business-apps"/>
    <s v="Teams meeting room camera flickers after restart."/>
    <s v="Teams meeting room camera flickers after restart. Reported by Antonio from Finance."/>
    <b v="1"/>
    <b v="0"/>
  </r>
  <r>
    <n v="997"/>
    <d v="2024-03-09T21:51:44"/>
    <d v="2024-03-10T02:01:11"/>
    <x v="896"/>
    <x v="1"/>
    <x v="1"/>
    <x v="0"/>
    <x v="7"/>
    <n v="4"/>
    <s v="Sales"/>
    <s v="peripherals"/>
    <s v="User cannot map shared drive from new laptop."/>
    <s v="User cannot map shared drive from new laptop. Reported by Mitchell from Warehouse."/>
    <b v="1"/>
    <b v="0"/>
  </r>
  <r>
    <n v="998"/>
    <d v="2024-03-10T01:20:31"/>
    <d v="2024-03-10T04:51:08"/>
    <x v="897"/>
    <x v="2"/>
    <x v="0"/>
    <x v="3"/>
    <x v="3"/>
    <n v="4"/>
    <s v="IT"/>
    <s v="security"/>
    <s v="BitLocker recovery key prompt appears at boot."/>
    <s v="BitLocker recovery key prompt appears at boot. Reported by Scott from Warehouse."/>
    <b v="0"/>
    <b v="0"/>
  </r>
  <r>
    <n v="999"/>
    <d v="2024-03-10T01:53:34"/>
    <d v="2024-03-10T04:22:43"/>
    <x v="898"/>
    <x v="1"/>
    <x v="0"/>
    <x v="2"/>
    <x v="7"/>
    <n v="1"/>
    <s v="Operations"/>
    <s v="peripherals"/>
    <s v="Cannot sign in to Okta after password reset."/>
    <s v="Cannot sign in to Okta after password reset. Reported by Stephanie from Operations."/>
    <b v="0"/>
    <b v="0"/>
  </r>
  <r>
    <n v="1000"/>
    <d v="2024-03-10T02:49:24"/>
    <d v="2024-03-10T22:00:41"/>
    <x v="899"/>
    <x v="2"/>
    <x v="0"/>
    <x v="1"/>
    <x v="1"/>
    <n v="6"/>
    <s v="Sales"/>
    <s v="voice"/>
    <s v="Warehouse scanner will not sync picks to WMS."/>
    <s v="Warehouse scanner will not sync picks to WMS. Reported by Melissa from Finance."/>
    <b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FEAAF-6459-4000-9CF4-FF27D1116917}" name="PivotTable1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5">
    <pivotField compact="0" outline="0" showAll="0"/>
    <pivotField compact="0" numFmtId="22" outline="0" showAll="0"/>
    <pivotField compact="0" outline="0" showAll="0"/>
    <pivotField compact="0" outline="0" showAll="0">
      <items count="901">
        <item x="0"/>
        <item x="1"/>
        <item x="7"/>
        <item x="5"/>
        <item x="4"/>
        <item x="3"/>
        <item x="9"/>
        <item x="8"/>
        <item x="15"/>
        <item x="6"/>
        <item x="16"/>
        <item x="2"/>
        <item x="12"/>
        <item x="13"/>
        <item x="23"/>
        <item x="29"/>
        <item x="27"/>
        <item x="31"/>
        <item x="20"/>
        <item x="25"/>
        <item x="14"/>
        <item x="11"/>
        <item x="21"/>
        <item x="18"/>
        <item x="17"/>
        <item x="26"/>
        <item x="36"/>
        <item x="30"/>
        <item x="34"/>
        <item x="41"/>
        <item x="32"/>
        <item x="37"/>
        <item x="22"/>
        <item x="52"/>
        <item x="40"/>
        <item x="38"/>
        <item x="28"/>
        <item x="35"/>
        <item x="45"/>
        <item x="24"/>
        <item x="60"/>
        <item x="62"/>
        <item x="42"/>
        <item x="56"/>
        <item x="46"/>
        <item x="48"/>
        <item x="19"/>
        <item x="53"/>
        <item x="55"/>
        <item x="57"/>
        <item x="66"/>
        <item x="65"/>
        <item x="68"/>
        <item x="61"/>
        <item x="63"/>
        <item x="64"/>
        <item x="44"/>
        <item x="70"/>
        <item x="67"/>
        <item x="47"/>
        <item x="69"/>
        <item x="33"/>
        <item x="39"/>
        <item x="49"/>
        <item x="54"/>
        <item x="43"/>
        <item x="71"/>
        <item x="58"/>
        <item x="50"/>
        <item x="77"/>
        <item x="51"/>
        <item x="76"/>
        <item x="75"/>
        <item x="78"/>
        <item x="59"/>
        <item x="72"/>
        <item x="89"/>
        <item x="87"/>
        <item x="83"/>
        <item x="80"/>
        <item x="92"/>
        <item x="99"/>
        <item x="86"/>
        <item x="94"/>
        <item x="74"/>
        <item x="93"/>
        <item x="73"/>
        <item x="81"/>
        <item x="85"/>
        <item x="91"/>
        <item x="101"/>
        <item x="79"/>
        <item x="100"/>
        <item x="90"/>
        <item x="96"/>
        <item x="104"/>
        <item x="103"/>
        <item x="105"/>
        <item x="84"/>
        <item x="95"/>
        <item x="108"/>
        <item x="114"/>
        <item x="82"/>
        <item x="111"/>
        <item x="98"/>
        <item x="112"/>
        <item x="102"/>
        <item x="88"/>
        <item x="107"/>
        <item x="97"/>
        <item x="110"/>
        <item x="119"/>
        <item x="118"/>
        <item x="116"/>
        <item x="117"/>
        <item x="123"/>
        <item x="126"/>
        <item x="125"/>
        <item x="122"/>
        <item x="128"/>
        <item x="120"/>
        <item x="106"/>
        <item x="133"/>
        <item x="127"/>
        <item x="131"/>
        <item x="136"/>
        <item x="143"/>
        <item x="113"/>
        <item x="142"/>
        <item x="139"/>
        <item x="140"/>
        <item x="115"/>
        <item x="137"/>
        <item x="148"/>
        <item x="146"/>
        <item x="147"/>
        <item x="149"/>
        <item x="109"/>
        <item x="144"/>
        <item x="141"/>
        <item x="151"/>
        <item x="124"/>
        <item x="121"/>
        <item x="132"/>
        <item x="150"/>
        <item x="157"/>
        <item x="129"/>
        <item x="160"/>
        <item x="161"/>
        <item x="145"/>
        <item x="153"/>
        <item x="152"/>
        <item x="159"/>
        <item x="155"/>
        <item x="162"/>
        <item x="163"/>
        <item x="130"/>
        <item x="158"/>
        <item x="138"/>
        <item x="167"/>
        <item x="134"/>
        <item x="135"/>
        <item x="171"/>
        <item x="156"/>
        <item x="166"/>
        <item x="169"/>
        <item x="178"/>
        <item x="170"/>
        <item x="175"/>
        <item x="179"/>
        <item x="181"/>
        <item x="174"/>
        <item x="172"/>
        <item x="182"/>
        <item x="173"/>
        <item x="165"/>
        <item x="180"/>
        <item x="183"/>
        <item x="154"/>
        <item x="189"/>
        <item x="164"/>
        <item x="192"/>
        <item x="193"/>
        <item x="185"/>
        <item x="177"/>
        <item x="198"/>
        <item x="187"/>
        <item x="195"/>
        <item x="196"/>
        <item x="199"/>
        <item x="200"/>
        <item x="190"/>
        <item x="176"/>
        <item x="186"/>
        <item x="168"/>
        <item x="207"/>
        <item x="197"/>
        <item x="203"/>
        <item x="205"/>
        <item x="191"/>
        <item x="204"/>
        <item x="210"/>
        <item x="201"/>
        <item x="209"/>
        <item x="194"/>
        <item x="188"/>
        <item x="211"/>
        <item x="184"/>
        <item x="217"/>
        <item x="219"/>
        <item x="214"/>
        <item x="212"/>
        <item x="216"/>
        <item x="226"/>
        <item x="225"/>
        <item x="228"/>
        <item x="220"/>
        <item x="206"/>
        <item x="224"/>
        <item x="231"/>
        <item x="208"/>
        <item x="235"/>
        <item x="213"/>
        <item x="202"/>
        <item x="215"/>
        <item x="230"/>
        <item x="218"/>
        <item x="233"/>
        <item x="236"/>
        <item x="223"/>
        <item x="229"/>
        <item x="240"/>
        <item x="234"/>
        <item x="232"/>
        <item x="238"/>
        <item x="241"/>
        <item x="242"/>
        <item x="243"/>
        <item x="239"/>
        <item x="244"/>
        <item x="221"/>
        <item x="222"/>
        <item x="245"/>
        <item x="237"/>
        <item x="247"/>
        <item x="227"/>
        <item x="254"/>
        <item x="249"/>
        <item x="257"/>
        <item x="259"/>
        <item x="263"/>
        <item x="261"/>
        <item x="255"/>
        <item x="270"/>
        <item x="268"/>
        <item x="272"/>
        <item x="251"/>
        <item x="265"/>
        <item x="250"/>
        <item x="256"/>
        <item x="258"/>
        <item x="269"/>
        <item x="267"/>
        <item x="260"/>
        <item x="273"/>
        <item x="246"/>
        <item x="252"/>
        <item x="248"/>
        <item x="253"/>
        <item x="276"/>
        <item x="275"/>
        <item x="262"/>
        <item x="264"/>
        <item x="277"/>
        <item x="279"/>
        <item x="286"/>
        <item x="280"/>
        <item x="284"/>
        <item x="288"/>
        <item x="282"/>
        <item x="278"/>
        <item x="287"/>
        <item x="292"/>
        <item x="290"/>
        <item x="291"/>
        <item x="295"/>
        <item x="281"/>
        <item x="274"/>
        <item x="266"/>
        <item x="294"/>
        <item x="271"/>
        <item x="300"/>
        <item x="296"/>
        <item x="303"/>
        <item x="293"/>
        <item x="297"/>
        <item x="305"/>
        <item x="304"/>
        <item x="289"/>
        <item x="302"/>
        <item x="307"/>
        <item x="298"/>
        <item x="301"/>
        <item x="308"/>
        <item x="310"/>
        <item x="283"/>
        <item x="299"/>
        <item x="311"/>
        <item x="312"/>
        <item x="318"/>
        <item x="285"/>
        <item x="309"/>
        <item x="317"/>
        <item x="323"/>
        <item x="315"/>
        <item x="316"/>
        <item x="314"/>
        <item x="319"/>
        <item x="324"/>
        <item x="306"/>
        <item x="322"/>
        <item x="326"/>
        <item x="327"/>
        <item x="321"/>
        <item x="331"/>
        <item x="320"/>
        <item x="335"/>
        <item x="332"/>
        <item x="313"/>
        <item x="333"/>
        <item x="339"/>
        <item x="340"/>
        <item x="341"/>
        <item x="337"/>
        <item x="346"/>
        <item x="334"/>
        <item x="325"/>
        <item x="342"/>
        <item x="343"/>
        <item x="350"/>
        <item x="344"/>
        <item x="345"/>
        <item x="351"/>
        <item x="347"/>
        <item x="348"/>
        <item x="330"/>
        <item x="349"/>
        <item x="329"/>
        <item x="352"/>
        <item x="358"/>
        <item x="328"/>
        <item x="363"/>
        <item x="355"/>
        <item x="354"/>
        <item x="361"/>
        <item x="336"/>
        <item x="356"/>
        <item x="360"/>
        <item x="353"/>
        <item x="362"/>
        <item x="367"/>
        <item x="370"/>
        <item x="338"/>
        <item x="365"/>
        <item x="364"/>
        <item x="368"/>
        <item x="375"/>
        <item x="379"/>
        <item x="369"/>
        <item x="381"/>
        <item x="376"/>
        <item x="380"/>
        <item x="357"/>
        <item x="373"/>
        <item x="383"/>
        <item x="374"/>
        <item x="378"/>
        <item x="372"/>
        <item x="386"/>
        <item x="366"/>
        <item x="359"/>
        <item x="382"/>
        <item x="393"/>
        <item x="371"/>
        <item x="392"/>
        <item x="394"/>
        <item x="397"/>
        <item x="391"/>
        <item x="377"/>
        <item x="385"/>
        <item x="388"/>
        <item x="389"/>
        <item x="404"/>
        <item x="396"/>
        <item x="402"/>
        <item x="409"/>
        <item x="403"/>
        <item x="395"/>
        <item x="400"/>
        <item x="406"/>
        <item x="399"/>
        <item x="384"/>
        <item x="410"/>
        <item x="408"/>
        <item x="387"/>
        <item x="413"/>
        <item x="390"/>
        <item x="415"/>
        <item x="405"/>
        <item x="414"/>
        <item x="420"/>
        <item x="417"/>
        <item x="421"/>
        <item x="422"/>
        <item x="424"/>
        <item x="423"/>
        <item x="398"/>
        <item x="407"/>
        <item x="411"/>
        <item x="427"/>
        <item x="401"/>
        <item x="430"/>
        <item x="429"/>
        <item x="434"/>
        <item x="426"/>
        <item x="419"/>
        <item x="433"/>
        <item x="412"/>
        <item x="436"/>
        <item x="441"/>
        <item x="431"/>
        <item x="418"/>
        <item x="432"/>
        <item x="438"/>
        <item x="443"/>
        <item x="437"/>
        <item x="416"/>
        <item x="448"/>
        <item x="442"/>
        <item x="446"/>
        <item x="447"/>
        <item x="445"/>
        <item x="439"/>
        <item x="451"/>
        <item x="425"/>
        <item x="449"/>
        <item x="455"/>
        <item x="456"/>
        <item x="428"/>
        <item x="457"/>
        <item x="460"/>
        <item x="469"/>
        <item x="466"/>
        <item x="461"/>
        <item x="459"/>
        <item x="462"/>
        <item x="440"/>
        <item x="435"/>
        <item x="468"/>
        <item x="452"/>
        <item x="444"/>
        <item x="464"/>
        <item x="463"/>
        <item x="454"/>
        <item x="474"/>
        <item x="467"/>
        <item x="470"/>
        <item x="481"/>
        <item x="479"/>
        <item x="450"/>
        <item x="472"/>
        <item x="480"/>
        <item x="477"/>
        <item x="453"/>
        <item x="482"/>
        <item x="484"/>
        <item x="485"/>
        <item x="486"/>
        <item x="458"/>
        <item x="465"/>
        <item x="487"/>
        <item x="473"/>
        <item x="489"/>
        <item x="475"/>
        <item x="476"/>
        <item x="490"/>
        <item x="494"/>
        <item x="501"/>
        <item x="496"/>
        <item x="495"/>
        <item x="503"/>
        <item x="478"/>
        <item x="471"/>
        <item x="491"/>
        <item x="498"/>
        <item x="507"/>
        <item x="505"/>
        <item x="511"/>
        <item x="500"/>
        <item x="483"/>
        <item x="510"/>
        <item x="492"/>
        <item x="506"/>
        <item x="488"/>
        <item x="497"/>
        <item x="512"/>
        <item x="517"/>
        <item x="522"/>
        <item x="519"/>
        <item x="514"/>
        <item x="502"/>
        <item x="521"/>
        <item x="520"/>
        <item x="525"/>
        <item x="516"/>
        <item x="528"/>
        <item x="523"/>
        <item x="530"/>
        <item x="493"/>
        <item x="515"/>
        <item x="533"/>
        <item x="499"/>
        <item x="529"/>
        <item x="532"/>
        <item x="504"/>
        <item x="527"/>
        <item x="537"/>
        <item x="535"/>
        <item x="524"/>
        <item x="538"/>
        <item x="508"/>
        <item x="509"/>
        <item x="543"/>
        <item x="536"/>
        <item x="534"/>
        <item x="541"/>
        <item x="539"/>
        <item x="544"/>
        <item x="513"/>
        <item x="518"/>
        <item x="526"/>
        <item x="546"/>
        <item x="542"/>
        <item x="550"/>
        <item x="548"/>
        <item x="547"/>
        <item x="545"/>
        <item x="553"/>
        <item x="551"/>
        <item x="531"/>
        <item x="549"/>
        <item x="554"/>
        <item x="556"/>
        <item x="552"/>
        <item x="560"/>
        <item x="558"/>
        <item x="563"/>
        <item x="540"/>
        <item x="561"/>
        <item x="555"/>
        <item x="557"/>
        <item x="565"/>
        <item x="567"/>
        <item x="569"/>
        <item x="568"/>
        <item x="564"/>
        <item x="573"/>
        <item x="562"/>
        <item x="576"/>
        <item x="574"/>
        <item x="577"/>
        <item x="579"/>
        <item x="566"/>
        <item x="581"/>
        <item x="575"/>
        <item x="578"/>
        <item x="584"/>
        <item x="559"/>
        <item x="583"/>
        <item x="571"/>
        <item x="582"/>
        <item x="589"/>
        <item x="572"/>
        <item x="588"/>
        <item x="585"/>
        <item x="591"/>
        <item x="590"/>
        <item x="599"/>
        <item x="570"/>
        <item x="604"/>
        <item x="598"/>
        <item x="596"/>
        <item x="606"/>
        <item x="610"/>
        <item x="580"/>
        <item x="594"/>
        <item x="609"/>
        <item x="603"/>
        <item x="612"/>
        <item x="608"/>
        <item x="607"/>
        <item x="593"/>
        <item x="592"/>
        <item x="617"/>
        <item x="587"/>
        <item x="616"/>
        <item x="615"/>
        <item x="586"/>
        <item x="595"/>
        <item x="619"/>
        <item x="605"/>
        <item x="622"/>
        <item x="620"/>
        <item x="625"/>
        <item x="597"/>
        <item x="613"/>
        <item x="626"/>
        <item x="602"/>
        <item x="632"/>
        <item x="627"/>
        <item x="600"/>
        <item x="623"/>
        <item x="601"/>
        <item x="614"/>
        <item x="633"/>
        <item x="634"/>
        <item x="637"/>
        <item x="640"/>
        <item x="629"/>
        <item x="643"/>
        <item x="641"/>
        <item x="624"/>
        <item x="639"/>
        <item x="636"/>
        <item x="611"/>
        <item x="642"/>
        <item x="630"/>
        <item x="644"/>
        <item x="618"/>
        <item x="635"/>
        <item x="648"/>
        <item x="653"/>
        <item x="650"/>
        <item x="645"/>
        <item x="657"/>
        <item x="621"/>
        <item x="647"/>
        <item x="631"/>
        <item x="628"/>
        <item x="658"/>
        <item x="654"/>
        <item x="646"/>
        <item x="649"/>
        <item x="670"/>
        <item x="664"/>
        <item x="668"/>
        <item x="671"/>
        <item x="662"/>
        <item x="656"/>
        <item x="659"/>
        <item x="663"/>
        <item x="665"/>
        <item x="638"/>
        <item x="672"/>
        <item x="651"/>
        <item x="655"/>
        <item x="674"/>
        <item x="669"/>
        <item x="673"/>
        <item x="666"/>
        <item x="652"/>
        <item x="679"/>
        <item x="675"/>
        <item x="678"/>
        <item x="676"/>
        <item x="660"/>
        <item x="661"/>
        <item x="686"/>
        <item x="667"/>
        <item x="682"/>
        <item x="683"/>
        <item x="681"/>
        <item x="695"/>
        <item x="684"/>
        <item x="700"/>
        <item x="685"/>
        <item x="689"/>
        <item x="691"/>
        <item x="702"/>
        <item x="693"/>
        <item x="690"/>
        <item x="692"/>
        <item x="688"/>
        <item x="697"/>
        <item x="680"/>
        <item x="705"/>
        <item x="677"/>
        <item x="709"/>
        <item x="694"/>
        <item x="698"/>
        <item x="707"/>
        <item x="714"/>
        <item x="711"/>
        <item x="703"/>
        <item x="701"/>
        <item x="687"/>
        <item x="710"/>
        <item x="713"/>
        <item x="712"/>
        <item x="708"/>
        <item x="704"/>
        <item x="716"/>
        <item x="723"/>
        <item x="717"/>
        <item x="725"/>
        <item x="727"/>
        <item x="722"/>
        <item x="699"/>
        <item x="718"/>
        <item x="706"/>
        <item x="696"/>
        <item x="734"/>
        <item x="724"/>
        <item x="726"/>
        <item x="715"/>
        <item x="720"/>
        <item x="736"/>
        <item x="730"/>
        <item x="735"/>
        <item x="721"/>
        <item x="740"/>
        <item x="732"/>
        <item x="738"/>
        <item x="744"/>
        <item x="737"/>
        <item x="742"/>
        <item x="743"/>
        <item x="739"/>
        <item x="728"/>
        <item x="733"/>
        <item x="719"/>
        <item x="746"/>
        <item x="731"/>
        <item x="748"/>
        <item x="756"/>
        <item x="747"/>
        <item x="757"/>
        <item x="741"/>
        <item x="751"/>
        <item x="729"/>
        <item x="761"/>
        <item x="762"/>
        <item x="753"/>
        <item x="745"/>
        <item x="755"/>
        <item x="765"/>
        <item x="764"/>
        <item x="770"/>
        <item x="766"/>
        <item x="769"/>
        <item x="772"/>
        <item x="750"/>
        <item x="783"/>
        <item x="781"/>
        <item x="759"/>
        <item x="779"/>
        <item x="788"/>
        <item x="760"/>
        <item x="749"/>
        <item x="771"/>
        <item x="776"/>
        <item x="782"/>
        <item x="784"/>
        <item x="752"/>
        <item x="780"/>
        <item x="773"/>
        <item x="796"/>
        <item x="767"/>
        <item x="786"/>
        <item x="775"/>
        <item x="791"/>
        <item x="754"/>
        <item x="794"/>
        <item x="763"/>
        <item x="777"/>
        <item x="758"/>
        <item x="789"/>
        <item x="798"/>
        <item x="802"/>
        <item x="792"/>
        <item x="774"/>
        <item x="797"/>
        <item x="804"/>
        <item x="778"/>
        <item x="800"/>
        <item x="768"/>
        <item x="793"/>
        <item x="787"/>
        <item x="812"/>
        <item x="785"/>
        <item x="806"/>
        <item x="814"/>
        <item x="790"/>
        <item x="805"/>
        <item x="807"/>
        <item x="813"/>
        <item x="803"/>
        <item x="811"/>
        <item x="795"/>
        <item x="819"/>
        <item x="815"/>
        <item x="818"/>
        <item x="822"/>
        <item x="816"/>
        <item x="809"/>
        <item x="801"/>
        <item x="823"/>
        <item x="808"/>
        <item x="820"/>
        <item x="825"/>
        <item x="824"/>
        <item x="828"/>
        <item x="799"/>
        <item x="830"/>
        <item x="832"/>
        <item x="817"/>
        <item x="827"/>
        <item x="810"/>
        <item x="833"/>
        <item x="838"/>
        <item x="844"/>
        <item x="834"/>
        <item x="841"/>
        <item x="821"/>
        <item x="839"/>
        <item x="848"/>
        <item x="826"/>
        <item x="843"/>
        <item x="840"/>
        <item x="853"/>
        <item x="846"/>
        <item x="850"/>
        <item x="831"/>
        <item x="835"/>
        <item x="845"/>
        <item x="836"/>
        <item x="849"/>
        <item x="852"/>
        <item x="847"/>
        <item x="855"/>
        <item x="854"/>
        <item x="851"/>
        <item x="857"/>
        <item x="858"/>
        <item x="829"/>
        <item x="865"/>
        <item x="859"/>
        <item x="856"/>
        <item x="863"/>
        <item x="860"/>
        <item x="837"/>
        <item x="864"/>
        <item x="861"/>
        <item x="862"/>
        <item x="867"/>
        <item x="873"/>
        <item x="842"/>
        <item x="868"/>
        <item x="872"/>
        <item x="870"/>
        <item x="875"/>
        <item x="874"/>
        <item x="881"/>
        <item x="871"/>
        <item x="879"/>
        <item x="869"/>
        <item x="877"/>
        <item x="878"/>
        <item x="886"/>
        <item x="866"/>
        <item x="889"/>
        <item x="891"/>
        <item x="888"/>
        <item x="885"/>
        <item x="890"/>
        <item x="880"/>
        <item x="883"/>
        <item x="894"/>
        <item x="892"/>
        <item x="893"/>
        <item x="896"/>
        <item x="898"/>
        <item x="876"/>
        <item x="882"/>
        <item x="899"/>
        <item x="887"/>
        <item x="884"/>
        <item x="897"/>
        <item x="895"/>
        <item x="10"/>
        <item t="default"/>
      </items>
    </pivotField>
    <pivotField compact="0" outline="0" showAll="0"/>
    <pivotField axis="axisRow" dataField="1" compact="0" outline="0" showAll="0">
      <items count="5">
        <item x="1"/>
        <item h="1"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statu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A6069-B664-465F-BBF2-F8296F9FCF1E}" name="PivotTable2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8" firstHeaderRow="1" firstDataRow="1" firstDataCol="1"/>
  <pivotFields count="15">
    <pivotField compact="0" outline="0" showAll="0"/>
    <pivotField compact="0" numFmtId="22" outline="0" showAll="0"/>
    <pivotField compact="0" outline="0" showAll="0"/>
    <pivotField compact="0" outline="0" showAll="0"/>
    <pivotField axis="axisRow" dataField="1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iority" fld="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AE74B-7D01-4956-8A66-D30DFBA7A388}" name="PivotTable3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5"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nnel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44FBD-5769-4E4E-BDB0-DDE4DC9B6693}" name="PivotTable4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2" firstHeaderRow="1" firstDataRow="1" firstDataCol="1"/>
  <pivotFields count="15"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6"/>
        <item x="5"/>
        <item x="4"/>
        <item x="2"/>
        <item x="0"/>
        <item x="7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ategory_i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D430-DC44-49A9-BE42-745B25F5B38F}">
  <dimension ref="A3:B7"/>
  <sheetViews>
    <sheetView workbookViewId="0">
      <selection activeCell="M9" sqref="M9"/>
    </sheetView>
  </sheetViews>
  <sheetFormatPr defaultRowHeight="15"/>
  <cols>
    <col min="1" max="1" width="11.7109375" bestFit="1" customWidth="1"/>
    <col min="2" max="2" width="14.85546875" bestFit="1" customWidth="1"/>
  </cols>
  <sheetData>
    <row r="3" spans="1:2">
      <c r="A3" s="7" t="s">
        <v>0</v>
      </c>
      <c r="B3" t="s">
        <v>1</v>
      </c>
    </row>
    <row r="4" spans="1:2">
      <c r="A4" t="s">
        <v>2</v>
      </c>
      <c r="B4" s="8">
        <v>105</v>
      </c>
    </row>
    <row r="5" spans="1:2">
      <c r="A5" t="s">
        <v>3</v>
      </c>
      <c r="B5" s="8">
        <v>45</v>
      </c>
    </row>
    <row r="6" spans="1:2">
      <c r="A6" t="s">
        <v>4</v>
      </c>
      <c r="B6" s="8">
        <v>794</v>
      </c>
    </row>
    <row r="7" spans="1:2">
      <c r="A7" t="s">
        <v>5</v>
      </c>
      <c r="B7" s="8">
        <v>944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5293-5D5E-4D0F-A366-423832E0E95C}">
  <dimension ref="A3:B8"/>
  <sheetViews>
    <sheetView workbookViewId="0">
      <selection activeCell="P4" sqref="P4"/>
    </sheetView>
  </sheetViews>
  <sheetFormatPr defaultRowHeight="15"/>
  <cols>
    <col min="1" max="1" width="11.7109375" bestFit="1" customWidth="1"/>
    <col min="2" max="2" width="16" bestFit="1" customWidth="1"/>
  </cols>
  <sheetData>
    <row r="3" spans="1:2">
      <c r="A3" s="7" t="s">
        <v>6</v>
      </c>
      <c r="B3" t="s">
        <v>7</v>
      </c>
    </row>
    <row r="4" spans="1:2">
      <c r="A4" t="s">
        <v>8</v>
      </c>
      <c r="B4" s="8">
        <v>32</v>
      </c>
    </row>
    <row r="5" spans="1:2">
      <c r="A5" t="s">
        <v>9</v>
      </c>
      <c r="B5" s="8">
        <v>143</v>
      </c>
    </row>
    <row r="6" spans="1:2">
      <c r="A6" t="s">
        <v>10</v>
      </c>
      <c r="B6" s="8">
        <v>474</v>
      </c>
    </row>
    <row r="7" spans="1:2">
      <c r="A7" t="s">
        <v>11</v>
      </c>
      <c r="B7" s="8">
        <v>351</v>
      </c>
    </row>
    <row r="8" spans="1:2">
      <c r="A8" t="s">
        <v>5</v>
      </c>
      <c r="B8" s="8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DC6B-F72B-4C54-B2A8-566EE4E2C95A}">
  <dimension ref="A3:B8"/>
  <sheetViews>
    <sheetView topLeftCell="A4" workbookViewId="0">
      <selection activeCell="D10" sqref="D10"/>
    </sheetView>
  </sheetViews>
  <sheetFormatPr defaultRowHeight="15"/>
  <cols>
    <col min="1" max="1" width="11.7109375" bestFit="1" customWidth="1"/>
    <col min="2" max="2" width="16.42578125" bestFit="1" customWidth="1"/>
  </cols>
  <sheetData>
    <row r="3" spans="1:2">
      <c r="A3" s="7" t="s">
        <v>12</v>
      </c>
      <c r="B3" t="s">
        <v>13</v>
      </c>
    </row>
    <row r="4" spans="1:2">
      <c r="A4" t="s">
        <v>14</v>
      </c>
      <c r="B4" s="8">
        <v>191</v>
      </c>
    </row>
    <row r="5" spans="1:2">
      <c r="A5" t="s">
        <v>15</v>
      </c>
      <c r="B5" s="8">
        <v>371</v>
      </c>
    </row>
    <row r="6" spans="1:2">
      <c r="A6" t="s">
        <v>16</v>
      </c>
      <c r="B6" s="8">
        <v>145</v>
      </c>
    </row>
    <row r="7" spans="1:2">
      <c r="A7" t="s">
        <v>17</v>
      </c>
      <c r="B7" s="8">
        <v>293</v>
      </c>
    </row>
    <row r="8" spans="1:2">
      <c r="A8" t="s">
        <v>5</v>
      </c>
      <c r="B8" s="8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B197-82F5-4FF5-BBD8-AA6F88B3C0D7}">
  <dimension ref="A3:B12"/>
  <sheetViews>
    <sheetView tabSelected="1" topLeftCell="A2" workbookViewId="0">
      <selection activeCell="M2" sqref="M2"/>
    </sheetView>
  </sheetViews>
  <sheetFormatPr defaultRowHeight="15"/>
  <cols>
    <col min="1" max="1" width="14.7109375" bestFit="1" customWidth="1"/>
    <col min="2" max="2" width="20" bestFit="1" customWidth="1"/>
    <col min="3" max="3" width="18.5703125" bestFit="1" customWidth="1"/>
  </cols>
  <sheetData>
    <row r="3" spans="1:2">
      <c r="A3" s="7" t="s">
        <v>18</v>
      </c>
      <c r="B3" t="s">
        <v>19</v>
      </c>
    </row>
    <row r="4" spans="1:2">
      <c r="A4">
        <v>1</v>
      </c>
      <c r="B4" s="8">
        <v>130</v>
      </c>
    </row>
    <row r="5" spans="1:2">
      <c r="A5">
        <v>2</v>
      </c>
      <c r="B5" s="8">
        <v>136</v>
      </c>
    </row>
    <row r="6" spans="1:2">
      <c r="A6">
        <v>3</v>
      </c>
      <c r="B6" s="8">
        <v>124</v>
      </c>
    </row>
    <row r="7" spans="1:2">
      <c r="A7">
        <v>4</v>
      </c>
      <c r="B7" s="8">
        <v>115</v>
      </c>
    </row>
    <row r="8" spans="1:2">
      <c r="A8">
        <v>5</v>
      </c>
      <c r="B8" s="8">
        <v>116</v>
      </c>
    </row>
    <row r="9" spans="1:2">
      <c r="A9">
        <v>6</v>
      </c>
      <c r="B9" s="8">
        <v>129</v>
      </c>
    </row>
    <row r="10" spans="1:2">
      <c r="A10">
        <v>7</v>
      </c>
      <c r="B10" s="8">
        <v>134</v>
      </c>
    </row>
    <row r="11" spans="1:2">
      <c r="A11">
        <v>8</v>
      </c>
      <c r="B11" s="8">
        <v>116</v>
      </c>
    </row>
    <row r="12" spans="1:2">
      <c r="A12" t="s">
        <v>5</v>
      </c>
      <c r="B12" s="8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C11" sqref="A1:O1001"/>
    </sheetView>
  </sheetViews>
  <sheetFormatPr defaultRowHeight="15"/>
  <cols>
    <col min="2" max="2" width="16.7109375" bestFit="1" customWidth="1"/>
  </cols>
  <sheetData>
    <row r="1" spans="1:15">
      <c r="A1" t="s">
        <v>20</v>
      </c>
      <c r="B1" t="s">
        <v>21</v>
      </c>
      <c r="C1" t="s">
        <v>22</v>
      </c>
      <c r="D1" t="s">
        <v>23</v>
      </c>
      <c r="E1" t="s">
        <v>6</v>
      </c>
      <c r="F1" t="s">
        <v>0</v>
      </c>
      <c r="G1" t="s">
        <v>12</v>
      </c>
      <c r="H1" t="s">
        <v>18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>
      <c r="A2">
        <v>1</v>
      </c>
      <c r="B2" s="1">
        <v>45292.01803240741</v>
      </c>
      <c r="C2" s="3">
        <v>1.7138888888888888</v>
      </c>
      <c r="D2" s="2">
        <v>45292.29972534722</v>
      </c>
      <c r="E2" t="s">
        <v>9</v>
      </c>
      <c r="F2" t="s">
        <v>4</v>
      </c>
      <c r="G2" t="s">
        <v>15</v>
      </c>
      <c r="H2">
        <v>5</v>
      </c>
      <c r="I2">
        <v>8</v>
      </c>
      <c r="J2" t="s">
        <v>31</v>
      </c>
      <c r="K2" t="s">
        <v>32</v>
      </c>
      <c r="L2" t="s">
        <v>33</v>
      </c>
      <c r="M2" t="s">
        <v>34</v>
      </c>
      <c r="N2" t="b">
        <v>0</v>
      </c>
      <c r="O2" t="b">
        <v>0</v>
      </c>
    </row>
    <row r="3" spans="1:15">
      <c r="A3">
        <v>2</v>
      </c>
      <c r="B3" s="1">
        <v>45292.138043981482</v>
      </c>
      <c r="C3" s="2">
        <v>45292.4455643287</v>
      </c>
      <c r="D3" s="2">
        <v>45292.671012905092</v>
      </c>
      <c r="E3" t="s">
        <v>10</v>
      </c>
      <c r="F3" t="s">
        <v>4</v>
      </c>
      <c r="G3" t="s">
        <v>15</v>
      </c>
      <c r="H3">
        <v>8</v>
      </c>
      <c r="I3">
        <v>5</v>
      </c>
      <c r="J3" t="s">
        <v>35</v>
      </c>
      <c r="K3" t="s">
        <v>36</v>
      </c>
      <c r="L3" t="s">
        <v>37</v>
      </c>
      <c r="M3" t="s">
        <v>38</v>
      </c>
      <c r="N3" t="b">
        <v>0</v>
      </c>
      <c r="O3" t="b">
        <v>0</v>
      </c>
    </row>
    <row r="4" spans="1:15">
      <c r="A4">
        <v>3</v>
      </c>
      <c r="B4" s="1">
        <v>45292.208379629628</v>
      </c>
      <c r="C4" s="2">
        <v>45292.301394618058</v>
      </c>
      <c r="D4" s="2">
        <v>45294.220340636573</v>
      </c>
      <c r="E4" t="s">
        <v>11</v>
      </c>
      <c r="F4" t="s">
        <v>4</v>
      </c>
      <c r="G4" t="s">
        <v>14</v>
      </c>
      <c r="H4">
        <v>4</v>
      </c>
      <c r="I4">
        <v>2</v>
      </c>
      <c r="J4" t="s">
        <v>39</v>
      </c>
      <c r="K4" t="s">
        <v>40</v>
      </c>
      <c r="L4" t="s">
        <v>41</v>
      </c>
      <c r="M4" t="s">
        <v>42</v>
      </c>
      <c r="N4" t="b">
        <v>0</v>
      </c>
      <c r="O4" t="b">
        <v>0</v>
      </c>
    </row>
    <row r="5" spans="1:15">
      <c r="A5">
        <v>4</v>
      </c>
      <c r="B5" s="1">
        <v>45292.287812499999</v>
      </c>
      <c r="C5" s="2">
        <v>45292.57886976852</v>
      </c>
      <c r="D5" s="2">
        <v>45293.056923738426</v>
      </c>
      <c r="E5" t="s">
        <v>10</v>
      </c>
      <c r="F5" t="s">
        <v>4</v>
      </c>
      <c r="G5" t="s">
        <v>17</v>
      </c>
      <c r="H5">
        <v>7</v>
      </c>
      <c r="I5">
        <v>10</v>
      </c>
      <c r="J5" t="s">
        <v>39</v>
      </c>
      <c r="K5" t="s">
        <v>43</v>
      </c>
      <c r="L5" t="s">
        <v>44</v>
      </c>
      <c r="M5" t="s">
        <v>45</v>
      </c>
      <c r="N5" t="b">
        <v>0</v>
      </c>
      <c r="O5" t="b">
        <v>0</v>
      </c>
    </row>
    <row r="6" spans="1:15">
      <c r="A6">
        <v>5</v>
      </c>
      <c r="B6" s="1">
        <v>45292.327233796299</v>
      </c>
      <c r="C6" s="2">
        <v>45292.415147245367</v>
      </c>
      <c r="D6" s="2">
        <v>45293.033077881948</v>
      </c>
      <c r="E6" t="s">
        <v>10</v>
      </c>
      <c r="F6" t="s">
        <v>4</v>
      </c>
      <c r="G6" t="s">
        <v>14</v>
      </c>
      <c r="H6">
        <v>3</v>
      </c>
      <c r="I6">
        <v>2</v>
      </c>
      <c r="J6" t="s">
        <v>31</v>
      </c>
      <c r="K6" t="s">
        <v>46</v>
      </c>
      <c r="L6" t="s">
        <v>47</v>
      </c>
      <c r="M6" t="s">
        <v>48</v>
      </c>
      <c r="N6" t="b">
        <v>0</v>
      </c>
      <c r="O6" t="b">
        <v>0</v>
      </c>
    </row>
    <row r="7" spans="1:15">
      <c r="A7">
        <v>6</v>
      </c>
      <c r="B7" s="1">
        <v>45292.41207175926</v>
      </c>
      <c r="C7" s="2">
        <v>45292.646165416663</v>
      </c>
      <c r="D7" s="2">
        <v>45293.001966111115</v>
      </c>
      <c r="E7" t="s">
        <v>10</v>
      </c>
      <c r="F7" t="s">
        <v>4</v>
      </c>
      <c r="G7" t="s">
        <v>16</v>
      </c>
      <c r="H7">
        <v>4</v>
      </c>
      <c r="I7">
        <v>1</v>
      </c>
      <c r="J7" t="s">
        <v>49</v>
      </c>
      <c r="K7" t="s">
        <v>40</v>
      </c>
      <c r="L7" t="s">
        <v>50</v>
      </c>
      <c r="M7" t="s">
        <v>51</v>
      </c>
      <c r="N7" t="b">
        <v>0</v>
      </c>
      <c r="O7" t="b">
        <v>0</v>
      </c>
    </row>
    <row r="8" spans="1:15">
      <c r="A8">
        <v>7</v>
      </c>
      <c r="B8" s="1">
        <v>45292.516828703701</v>
      </c>
      <c r="C8" s="2">
        <v>45293.216460868054</v>
      </c>
      <c r="D8" s="2">
        <v>45293.997846203703</v>
      </c>
      <c r="E8" t="s">
        <v>11</v>
      </c>
      <c r="F8" t="s">
        <v>4</v>
      </c>
      <c r="G8" t="s">
        <v>15</v>
      </c>
      <c r="H8">
        <v>3</v>
      </c>
      <c r="I8">
        <v>4</v>
      </c>
      <c r="J8" t="s">
        <v>52</v>
      </c>
      <c r="K8" t="s">
        <v>46</v>
      </c>
      <c r="L8" t="s">
        <v>53</v>
      </c>
      <c r="M8" t="s">
        <v>54</v>
      </c>
      <c r="N8" t="b">
        <v>0</v>
      </c>
      <c r="O8" t="b">
        <v>0</v>
      </c>
    </row>
    <row r="9" spans="1:15">
      <c r="A9">
        <v>8</v>
      </c>
      <c r="B9" s="1">
        <v>45292.606134259258</v>
      </c>
      <c r="C9" s="2">
        <v>45292.785705231479</v>
      </c>
      <c r="D9" s="2">
        <v>45292.892651909722</v>
      </c>
      <c r="E9" t="s">
        <v>10</v>
      </c>
      <c r="F9" t="s">
        <v>2</v>
      </c>
      <c r="G9" t="s">
        <v>14</v>
      </c>
      <c r="H9">
        <v>5</v>
      </c>
      <c r="I9">
        <v>2</v>
      </c>
      <c r="J9" t="s">
        <v>52</v>
      </c>
      <c r="K9" t="s">
        <v>32</v>
      </c>
      <c r="L9" t="s">
        <v>55</v>
      </c>
      <c r="M9" t="s">
        <v>56</v>
      </c>
      <c r="N9" t="b">
        <v>0</v>
      </c>
      <c r="O9" t="b">
        <v>0</v>
      </c>
    </row>
    <row r="10" spans="1:15">
      <c r="A10">
        <v>9</v>
      </c>
      <c r="B10" s="1">
        <v>45292.675682870373</v>
      </c>
      <c r="C10" s="2">
        <v>45292.762305520831</v>
      </c>
      <c r="D10" s="2">
        <v>45293.42545422454</v>
      </c>
      <c r="E10" t="s">
        <v>10</v>
      </c>
      <c r="F10" t="s">
        <v>4</v>
      </c>
      <c r="G10" t="s">
        <v>15</v>
      </c>
      <c r="H10">
        <v>2</v>
      </c>
      <c r="I10">
        <v>6</v>
      </c>
      <c r="J10" t="s">
        <v>35</v>
      </c>
      <c r="K10" t="s">
        <v>57</v>
      </c>
      <c r="L10" t="s">
        <v>58</v>
      </c>
      <c r="M10" t="s">
        <v>59</v>
      </c>
      <c r="N10" t="b">
        <v>0</v>
      </c>
      <c r="O10" t="b">
        <v>0</v>
      </c>
    </row>
    <row r="11" spans="1:15">
      <c r="A11">
        <v>10</v>
      </c>
      <c r="B11" s="1">
        <v>45292.904143518521</v>
      </c>
      <c r="C11" s="2">
        <v>45292.982384861112</v>
      </c>
      <c r="D11" s="2">
        <v>45293.165245266202</v>
      </c>
      <c r="E11" t="s">
        <v>9</v>
      </c>
      <c r="F11" t="s">
        <v>2</v>
      </c>
      <c r="G11" t="s">
        <v>15</v>
      </c>
      <c r="H11">
        <v>5</v>
      </c>
      <c r="I11">
        <v>5</v>
      </c>
      <c r="J11" t="s">
        <v>49</v>
      </c>
      <c r="K11" t="s">
        <v>32</v>
      </c>
      <c r="L11" t="s">
        <v>60</v>
      </c>
      <c r="M11" t="s">
        <v>61</v>
      </c>
      <c r="N11" t="b">
        <v>0</v>
      </c>
      <c r="O11" t="b">
        <v>0</v>
      </c>
    </row>
    <row r="12" spans="1:15">
      <c r="A12">
        <v>11</v>
      </c>
      <c r="B12" s="1">
        <v>45292.933125000003</v>
      </c>
      <c r="C12" s="2">
        <v>45293.052255185183</v>
      </c>
      <c r="E12" t="s">
        <v>10</v>
      </c>
      <c r="F12" t="s">
        <v>3</v>
      </c>
      <c r="G12" t="s">
        <v>15</v>
      </c>
      <c r="H12">
        <v>7</v>
      </c>
      <c r="I12">
        <v>10</v>
      </c>
      <c r="J12" t="s">
        <v>31</v>
      </c>
      <c r="K12" t="s">
        <v>43</v>
      </c>
      <c r="L12" t="s">
        <v>62</v>
      </c>
      <c r="M12" t="s">
        <v>63</v>
      </c>
      <c r="N12" t="b">
        <v>0</v>
      </c>
      <c r="O12" t="b">
        <v>0</v>
      </c>
    </row>
    <row r="13" spans="1:15">
      <c r="A13">
        <v>12</v>
      </c>
      <c r="B13" s="1">
        <v>45293.244525462964</v>
      </c>
      <c r="C13" s="2">
        <v>45293.601349363424</v>
      </c>
      <c r="D13" s="2">
        <v>45295.184591967591</v>
      </c>
      <c r="E13" t="s">
        <v>11</v>
      </c>
      <c r="F13" t="s">
        <v>4</v>
      </c>
      <c r="G13" t="s">
        <v>15</v>
      </c>
      <c r="H13">
        <v>2</v>
      </c>
      <c r="I13">
        <v>2</v>
      </c>
      <c r="J13" t="s">
        <v>31</v>
      </c>
      <c r="K13" t="s">
        <v>57</v>
      </c>
      <c r="L13" t="s">
        <v>64</v>
      </c>
      <c r="M13" t="s">
        <v>65</v>
      </c>
      <c r="N13" t="b">
        <v>0</v>
      </c>
      <c r="O13" t="b">
        <v>0</v>
      </c>
    </row>
    <row r="14" spans="1:15">
      <c r="A14">
        <v>13</v>
      </c>
      <c r="B14" s="1">
        <v>45293.28056712963</v>
      </c>
      <c r="C14" s="2">
        <v>45294.038111574075</v>
      </c>
      <c r="E14" t="s">
        <v>11</v>
      </c>
      <c r="F14" t="s">
        <v>3</v>
      </c>
      <c r="G14" t="s">
        <v>17</v>
      </c>
      <c r="H14">
        <v>7</v>
      </c>
      <c r="I14">
        <v>3</v>
      </c>
      <c r="J14" t="s">
        <v>49</v>
      </c>
      <c r="K14" t="s">
        <v>43</v>
      </c>
      <c r="L14" t="s">
        <v>66</v>
      </c>
      <c r="M14" t="s">
        <v>67</v>
      </c>
      <c r="N14" t="b">
        <v>0</v>
      </c>
      <c r="O14" t="b">
        <v>0</v>
      </c>
    </row>
    <row r="15" spans="1:15">
      <c r="A15">
        <v>14</v>
      </c>
      <c r="B15" s="1">
        <v>45293.497037037036</v>
      </c>
      <c r="C15" s="2">
        <v>45293.769797152781</v>
      </c>
      <c r="D15" s="2">
        <v>45294.233951180555</v>
      </c>
      <c r="E15" t="s">
        <v>10</v>
      </c>
      <c r="F15" t="s">
        <v>4</v>
      </c>
      <c r="G15" t="s">
        <v>14</v>
      </c>
      <c r="H15">
        <v>7</v>
      </c>
      <c r="I15">
        <v>7</v>
      </c>
      <c r="J15" t="s">
        <v>68</v>
      </c>
      <c r="K15" t="s">
        <v>43</v>
      </c>
      <c r="L15" t="s">
        <v>69</v>
      </c>
      <c r="M15" t="s">
        <v>70</v>
      </c>
      <c r="N15" t="b">
        <v>0</v>
      </c>
      <c r="O15" t="b">
        <v>0</v>
      </c>
    </row>
    <row r="16" spans="1:15">
      <c r="A16">
        <v>15</v>
      </c>
      <c r="B16" s="1">
        <v>45293.636979166666</v>
      </c>
      <c r="C16" s="2">
        <v>45294.233147557869</v>
      </c>
      <c r="E16" t="s">
        <v>11</v>
      </c>
      <c r="F16" t="s">
        <v>3</v>
      </c>
      <c r="G16" t="s">
        <v>17</v>
      </c>
      <c r="H16">
        <v>1</v>
      </c>
      <c r="I16">
        <v>7</v>
      </c>
      <c r="J16" t="s">
        <v>68</v>
      </c>
      <c r="K16" t="s">
        <v>71</v>
      </c>
      <c r="L16" t="s">
        <v>55</v>
      </c>
      <c r="M16" t="s">
        <v>72</v>
      </c>
      <c r="N16" t="b">
        <v>0</v>
      </c>
      <c r="O16" t="b">
        <v>0</v>
      </c>
    </row>
    <row r="17" spans="1:15">
      <c r="A17">
        <v>16</v>
      </c>
      <c r="B17" s="1">
        <v>45293.710509259261</v>
      </c>
      <c r="C17" s="2">
        <v>45293.828284027775</v>
      </c>
      <c r="D17" s="2">
        <v>45294.499687025462</v>
      </c>
      <c r="E17" t="s">
        <v>10</v>
      </c>
      <c r="F17" t="s">
        <v>4</v>
      </c>
      <c r="G17" t="s">
        <v>17</v>
      </c>
      <c r="H17">
        <v>6</v>
      </c>
      <c r="I17">
        <v>4</v>
      </c>
      <c r="J17" t="s">
        <v>52</v>
      </c>
      <c r="K17" t="s">
        <v>73</v>
      </c>
      <c r="L17" t="s">
        <v>33</v>
      </c>
      <c r="M17" t="s">
        <v>74</v>
      </c>
      <c r="N17" t="b">
        <v>0</v>
      </c>
      <c r="O17" t="b">
        <v>0</v>
      </c>
    </row>
    <row r="18" spans="1:15">
      <c r="A18">
        <v>17</v>
      </c>
      <c r="B18" s="1">
        <v>45293.755069444444</v>
      </c>
      <c r="C18" s="2">
        <v>45294.020820648147</v>
      </c>
      <c r="D18" s="2">
        <v>45295.117220381944</v>
      </c>
      <c r="E18" t="s">
        <v>11</v>
      </c>
      <c r="F18" t="s">
        <v>2</v>
      </c>
      <c r="G18" t="s">
        <v>14</v>
      </c>
      <c r="H18">
        <v>4</v>
      </c>
      <c r="I18">
        <v>10</v>
      </c>
      <c r="J18" t="s">
        <v>39</v>
      </c>
      <c r="K18" t="s">
        <v>40</v>
      </c>
      <c r="L18" t="s">
        <v>75</v>
      </c>
      <c r="M18" t="s">
        <v>76</v>
      </c>
      <c r="N18" t="b">
        <v>0</v>
      </c>
      <c r="O18" t="b">
        <v>0</v>
      </c>
    </row>
    <row r="19" spans="1:15">
      <c r="A19">
        <v>18</v>
      </c>
      <c r="B19" s="1">
        <v>45293.766782407409</v>
      </c>
      <c r="C19" s="2">
        <v>45293.814756840278</v>
      </c>
      <c r="D19" s="2">
        <v>45293.958532442128</v>
      </c>
      <c r="E19" t="s">
        <v>9</v>
      </c>
      <c r="F19" t="s">
        <v>4</v>
      </c>
      <c r="G19" t="s">
        <v>14</v>
      </c>
      <c r="H19">
        <v>6</v>
      </c>
      <c r="I19">
        <v>9</v>
      </c>
      <c r="J19" t="s">
        <v>39</v>
      </c>
      <c r="K19" t="s">
        <v>73</v>
      </c>
      <c r="L19" t="s">
        <v>47</v>
      </c>
      <c r="M19" t="s">
        <v>77</v>
      </c>
      <c r="N19" t="b">
        <v>0</v>
      </c>
      <c r="O19" t="b">
        <v>0</v>
      </c>
    </row>
    <row r="20" spans="1:15">
      <c r="A20">
        <v>19</v>
      </c>
      <c r="B20" s="1">
        <v>45293.871168981481</v>
      </c>
      <c r="C20" s="2">
        <v>45293.974266412035</v>
      </c>
      <c r="D20" s="2">
        <v>45294.181076574074</v>
      </c>
      <c r="E20" t="s">
        <v>10</v>
      </c>
      <c r="F20" t="s">
        <v>4</v>
      </c>
      <c r="G20" t="s">
        <v>16</v>
      </c>
      <c r="H20">
        <v>3</v>
      </c>
      <c r="I20">
        <v>7</v>
      </c>
      <c r="J20" t="s">
        <v>31</v>
      </c>
      <c r="K20" t="s">
        <v>46</v>
      </c>
      <c r="L20" t="s">
        <v>78</v>
      </c>
      <c r="M20" t="s">
        <v>79</v>
      </c>
      <c r="N20" t="b">
        <v>0</v>
      </c>
      <c r="O20" t="b">
        <v>0</v>
      </c>
    </row>
    <row r="21" spans="1:15">
      <c r="A21">
        <v>20</v>
      </c>
      <c r="B21" s="1">
        <v>45293.898240740738</v>
      </c>
      <c r="C21" s="2">
        <v>45294.153230300923</v>
      </c>
      <c r="E21" t="s">
        <v>11</v>
      </c>
      <c r="F21" t="s">
        <v>80</v>
      </c>
      <c r="G21" t="s">
        <v>14</v>
      </c>
      <c r="H21">
        <v>2</v>
      </c>
      <c r="I21">
        <v>8</v>
      </c>
      <c r="J21" t="s">
        <v>52</v>
      </c>
      <c r="K21" t="s">
        <v>57</v>
      </c>
      <c r="L21" t="s">
        <v>81</v>
      </c>
      <c r="M21" t="s">
        <v>82</v>
      </c>
      <c r="N21" t="b">
        <v>0</v>
      </c>
      <c r="O21" t="b">
        <v>0</v>
      </c>
    </row>
    <row r="22" spans="1:15">
      <c r="A22">
        <v>21</v>
      </c>
      <c r="B22" s="1">
        <v>45293.943437499998</v>
      </c>
      <c r="C22" s="2">
        <v>45294.609919976851</v>
      </c>
      <c r="E22" t="s">
        <v>11</v>
      </c>
      <c r="F22" t="s">
        <v>80</v>
      </c>
      <c r="G22" t="s">
        <v>15</v>
      </c>
      <c r="H22">
        <v>3</v>
      </c>
      <c r="I22">
        <v>6</v>
      </c>
      <c r="J22" t="s">
        <v>68</v>
      </c>
      <c r="K22" t="s">
        <v>46</v>
      </c>
      <c r="L22" t="s">
        <v>66</v>
      </c>
      <c r="M22" t="s">
        <v>83</v>
      </c>
      <c r="N22" t="b">
        <v>1</v>
      </c>
      <c r="O22" t="b">
        <v>0</v>
      </c>
    </row>
    <row r="23" spans="1:15">
      <c r="A23">
        <v>22</v>
      </c>
      <c r="B23" s="1">
        <v>45294.057118055556</v>
      </c>
      <c r="C23" s="2">
        <v>45294.820931238428</v>
      </c>
      <c r="D23" s="2">
        <v>45295.607276342591</v>
      </c>
      <c r="E23" t="s">
        <v>11</v>
      </c>
      <c r="F23" t="s">
        <v>4</v>
      </c>
      <c r="G23" t="s">
        <v>17</v>
      </c>
      <c r="H23">
        <v>2</v>
      </c>
      <c r="I23">
        <v>5</v>
      </c>
      <c r="J23" t="s">
        <v>49</v>
      </c>
      <c r="K23" t="s">
        <v>57</v>
      </c>
      <c r="L23" t="s">
        <v>66</v>
      </c>
      <c r="M23" t="s">
        <v>84</v>
      </c>
      <c r="N23" t="b">
        <v>0</v>
      </c>
      <c r="O23" t="b">
        <v>0</v>
      </c>
    </row>
    <row r="24" spans="1:15">
      <c r="A24">
        <v>23</v>
      </c>
      <c r="B24" s="1">
        <v>45294.117025462961</v>
      </c>
      <c r="C24" s="2">
        <v>45294.235646400462</v>
      </c>
      <c r="D24" s="2">
        <v>45295.468819212962</v>
      </c>
      <c r="E24" t="s">
        <v>11</v>
      </c>
      <c r="F24" t="s">
        <v>4</v>
      </c>
      <c r="G24" t="s">
        <v>17</v>
      </c>
      <c r="H24">
        <v>4</v>
      </c>
      <c r="I24">
        <v>6</v>
      </c>
      <c r="J24" t="s">
        <v>31</v>
      </c>
      <c r="K24" t="s">
        <v>40</v>
      </c>
      <c r="L24" t="s">
        <v>85</v>
      </c>
      <c r="M24" t="s">
        <v>86</v>
      </c>
      <c r="N24" t="b">
        <v>0</v>
      </c>
      <c r="O24" t="b">
        <v>0</v>
      </c>
    </row>
    <row r="25" spans="1:15">
      <c r="A25">
        <v>24</v>
      </c>
      <c r="B25" s="1">
        <v>45294.147905092592</v>
      </c>
      <c r="C25" s="2">
        <v>45294.441053344905</v>
      </c>
      <c r="E25" t="s">
        <v>11</v>
      </c>
      <c r="F25" t="s">
        <v>80</v>
      </c>
      <c r="G25" t="s">
        <v>15</v>
      </c>
      <c r="H25">
        <v>7</v>
      </c>
      <c r="I25">
        <v>9</v>
      </c>
      <c r="J25" t="s">
        <v>35</v>
      </c>
      <c r="K25" t="s">
        <v>43</v>
      </c>
      <c r="L25" t="s">
        <v>87</v>
      </c>
      <c r="M25" t="s">
        <v>88</v>
      </c>
      <c r="N25" t="b">
        <v>0</v>
      </c>
      <c r="O25" t="b">
        <v>0</v>
      </c>
    </row>
    <row r="26" spans="1:15">
      <c r="A26">
        <v>25</v>
      </c>
      <c r="B26" s="1">
        <v>45294.255914351852</v>
      </c>
      <c r="C26" s="2">
        <v>45294.885298020832</v>
      </c>
      <c r="D26" s="2">
        <v>45296.923948692129</v>
      </c>
      <c r="E26" t="s">
        <v>11</v>
      </c>
      <c r="F26" t="s">
        <v>4</v>
      </c>
      <c r="G26" t="s">
        <v>14</v>
      </c>
      <c r="H26">
        <v>7</v>
      </c>
      <c r="I26">
        <v>1</v>
      </c>
      <c r="J26" t="s">
        <v>68</v>
      </c>
      <c r="K26" t="s">
        <v>43</v>
      </c>
      <c r="L26" t="s">
        <v>89</v>
      </c>
      <c r="M26" t="s">
        <v>90</v>
      </c>
      <c r="N26" t="b">
        <v>0</v>
      </c>
      <c r="O26" t="b">
        <v>0</v>
      </c>
    </row>
    <row r="27" spans="1:15">
      <c r="A27">
        <v>26</v>
      </c>
      <c r="B27" s="1">
        <v>45294.450578703705</v>
      </c>
      <c r="C27" s="2">
        <v>45294.777845648146</v>
      </c>
      <c r="D27" s="2">
        <v>45295.078733784721</v>
      </c>
      <c r="E27" t="s">
        <v>10</v>
      </c>
      <c r="F27" t="s">
        <v>4</v>
      </c>
      <c r="G27" t="s">
        <v>16</v>
      </c>
      <c r="H27">
        <v>2</v>
      </c>
      <c r="I27">
        <v>2</v>
      </c>
      <c r="J27" t="s">
        <v>52</v>
      </c>
      <c r="K27" t="s">
        <v>57</v>
      </c>
      <c r="L27" t="s">
        <v>91</v>
      </c>
      <c r="M27" t="s">
        <v>92</v>
      </c>
      <c r="N27" t="b">
        <v>0</v>
      </c>
      <c r="O27" t="b">
        <v>0</v>
      </c>
    </row>
    <row r="28" spans="1:15">
      <c r="A28">
        <v>27</v>
      </c>
      <c r="B28" s="1">
        <v>45294.511238425926</v>
      </c>
      <c r="C28" s="2">
        <v>45294.831690462961</v>
      </c>
      <c r="D28" s="2">
        <v>45295.425550995373</v>
      </c>
      <c r="E28" t="s">
        <v>10</v>
      </c>
      <c r="F28" t="s">
        <v>4</v>
      </c>
      <c r="G28" t="s">
        <v>16</v>
      </c>
      <c r="H28">
        <v>5</v>
      </c>
      <c r="I28">
        <v>5</v>
      </c>
      <c r="J28" t="s">
        <v>39</v>
      </c>
      <c r="K28" t="s">
        <v>32</v>
      </c>
      <c r="L28" t="s">
        <v>93</v>
      </c>
      <c r="M28" t="s">
        <v>94</v>
      </c>
      <c r="N28" t="b">
        <v>1</v>
      </c>
      <c r="O28" t="b">
        <v>0</v>
      </c>
    </row>
    <row r="29" spans="1:15">
      <c r="A29">
        <v>28</v>
      </c>
      <c r="B29" s="1">
        <v>45294.540879629632</v>
      </c>
      <c r="C29" s="2">
        <v>45294.975382881945</v>
      </c>
      <c r="D29" s="2">
        <v>45296.120237129631</v>
      </c>
      <c r="E29" t="s">
        <v>11</v>
      </c>
      <c r="F29" t="s">
        <v>4</v>
      </c>
      <c r="G29" t="s">
        <v>15</v>
      </c>
      <c r="H29">
        <v>1</v>
      </c>
      <c r="I29">
        <v>6</v>
      </c>
      <c r="J29" t="s">
        <v>68</v>
      </c>
      <c r="K29" t="s">
        <v>71</v>
      </c>
      <c r="L29" t="s">
        <v>33</v>
      </c>
      <c r="M29" t="s">
        <v>95</v>
      </c>
      <c r="N29" t="b">
        <v>0</v>
      </c>
      <c r="O29" t="b">
        <v>0</v>
      </c>
    </row>
    <row r="30" spans="1:15">
      <c r="A30">
        <v>29</v>
      </c>
      <c r="B30" s="1">
        <v>45294.545231481483</v>
      </c>
      <c r="C30" s="2">
        <v>45294.870151192132</v>
      </c>
      <c r="D30" s="2">
        <v>45294.856067025466</v>
      </c>
      <c r="E30" t="s">
        <v>10</v>
      </c>
      <c r="F30" t="s">
        <v>4</v>
      </c>
      <c r="G30" t="s">
        <v>15</v>
      </c>
      <c r="H30">
        <v>1</v>
      </c>
      <c r="I30">
        <v>2</v>
      </c>
      <c r="J30" t="s">
        <v>39</v>
      </c>
      <c r="K30" t="s">
        <v>71</v>
      </c>
      <c r="L30" t="s">
        <v>96</v>
      </c>
      <c r="M30" t="s">
        <v>97</v>
      </c>
      <c r="N30" t="b">
        <v>0</v>
      </c>
      <c r="O30" t="b">
        <v>0</v>
      </c>
    </row>
    <row r="31" spans="1:15">
      <c r="A31">
        <v>30</v>
      </c>
      <c r="B31" s="1">
        <v>45294.609016203707</v>
      </c>
      <c r="C31" s="2">
        <v>45295.275173263886</v>
      </c>
      <c r="D31" s="2">
        <v>45296.535595891204</v>
      </c>
      <c r="E31" t="s">
        <v>11</v>
      </c>
      <c r="F31" t="s">
        <v>4</v>
      </c>
      <c r="G31" t="s">
        <v>15</v>
      </c>
      <c r="H31">
        <v>6</v>
      </c>
      <c r="I31">
        <v>7</v>
      </c>
      <c r="J31" t="s">
        <v>39</v>
      </c>
      <c r="K31" t="s">
        <v>73</v>
      </c>
      <c r="L31" t="s">
        <v>98</v>
      </c>
      <c r="M31" t="s">
        <v>99</v>
      </c>
      <c r="N31" t="b">
        <v>0</v>
      </c>
      <c r="O31" t="b">
        <v>0</v>
      </c>
    </row>
    <row r="32" spans="1:15">
      <c r="A32">
        <v>31</v>
      </c>
      <c r="B32" s="1">
        <v>45294.713935185187</v>
      </c>
      <c r="C32" s="2">
        <v>45294.972468437503</v>
      </c>
      <c r="D32" s="2">
        <v>45295.089326921297</v>
      </c>
      <c r="E32" t="s">
        <v>10</v>
      </c>
      <c r="F32" t="s">
        <v>4</v>
      </c>
      <c r="G32" t="s">
        <v>14</v>
      </c>
      <c r="H32">
        <v>3</v>
      </c>
      <c r="I32">
        <v>1</v>
      </c>
      <c r="J32" t="s">
        <v>35</v>
      </c>
      <c r="K32" t="s">
        <v>46</v>
      </c>
      <c r="L32" t="s">
        <v>100</v>
      </c>
      <c r="M32" t="s">
        <v>101</v>
      </c>
      <c r="N32" t="b">
        <v>0</v>
      </c>
      <c r="O32" t="b">
        <v>0</v>
      </c>
    </row>
    <row r="33" spans="1:15">
      <c r="A33">
        <v>32</v>
      </c>
      <c r="B33" s="1">
        <v>45294.739571759259</v>
      </c>
      <c r="C33" s="2">
        <v>45295.016773252311</v>
      </c>
      <c r="D33" s="2">
        <v>45295.629974212963</v>
      </c>
      <c r="E33" t="s">
        <v>10</v>
      </c>
      <c r="F33" t="s">
        <v>4</v>
      </c>
      <c r="G33" t="s">
        <v>17</v>
      </c>
      <c r="H33">
        <v>6</v>
      </c>
      <c r="I33">
        <v>3</v>
      </c>
      <c r="J33" t="s">
        <v>52</v>
      </c>
      <c r="K33" t="s">
        <v>73</v>
      </c>
      <c r="L33" t="s">
        <v>102</v>
      </c>
      <c r="M33" t="s">
        <v>103</v>
      </c>
      <c r="N33" t="b">
        <v>0</v>
      </c>
      <c r="O33" t="b">
        <v>0</v>
      </c>
    </row>
    <row r="34" spans="1:15">
      <c r="A34">
        <v>33</v>
      </c>
      <c r="B34" s="1">
        <v>45294.790914351855</v>
      </c>
      <c r="C34" s="2">
        <v>45294.865870046298</v>
      </c>
      <c r="D34" s="2">
        <v>45295.042551689818</v>
      </c>
      <c r="E34" t="s">
        <v>10</v>
      </c>
      <c r="F34" t="s">
        <v>4</v>
      </c>
      <c r="G34" t="s">
        <v>14</v>
      </c>
      <c r="H34">
        <v>2</v>
      </c>
      <c r="I34">
        <v>5</v>
      </c>
      <c r="J34" t="s">
        <v>49</v>
      </c>
      <c r="K34" t="s">
        <v>57</v>
      </c>
      <c r="L34" t="s">
        <v>104</v>
      </c>
      <c r="M34" t="s">
        <v>105</v>
      </c>
      <c r="N34" t="b">
        <v>0</v>
      </c>
      <c r="O34" t="b">
        <v>0</v>
      </c>
    </row>
    <row r="35" spans="1:15">
      <c r="A35">
        <v>34</v>
      </c>
      <c r="B35" s="1">
        <v>45294.846898148149</v>
      </c>
      <c r="C35" s="2">
        <v>45295.438518831019</v>
      </c>
      <c r="D35" s="2">
        <v>45296.391832187503</v>
      </c>
      <c r="E35" t="s">
        <v>11</v>
      </c>
      <c r="F35" t="s">
        <v>4</v>
      </c>
      <c r="G35" t="s">
        <v>16</v>
      </c>
      <c r="H35">
        <v>1</v>
      </c>
      <c r="I35">
        <v>1</v>
      </c>
      <c r="J35" t="s">
        <v>35</v>
      </c>
      <c r="K35" t="s">
        <v>71</v>
      </c>
      <c r="L35" t="s">
        <v>106</v>
      </c>
      <c r="M35" t="s">
        <v>107</v>
      </c>
      <c r="N35" t="b">
        <v>0</v>
      </c>
      <c r="O35" t="b">
        <v>0</v>
      </c>
    </row>
    <row r="36" spans="1:15">
      <c r="A36">
        <v>35</v>
      </c>
      <c r="B36" s="1">
        <v>45294.861319444448</v>
      </c>
      <c r="C36" s="2">
        <v>45294.888918402779</v>
      </c>
      <c r="D36" s="2">
        <v>45294.915997719909</v>
      </c>
      <c r="E36" t="s">
        <v>8</v>
      </c>
      <c r="F36" t="s">
        <v>4</v>
      </c>
      <c r="G36" t="s">
        <v>15</v>
      </c>
      <c r="H36">
        <v>6</v>
      </c>
      <c r="I36">
        <v>7</v>
      </c>
      <c r="J36" t="s">
        <v>68</v>
      </c>
      <c r="K36" t="s">
        <v>73</v>
      </c>
      <c r="L36" t="s">
        <v>91</v>
      </c>
      <c r="M36" t="s">
        <v>108</v>
      </c>
      <c r="N36" t="b">
        <v>1</v>
      </c>
      <c r="O36" t="b">
        <v>0</v>
      </c>
    </row>
    <row r="37" spans="1:15">
      <c r="A37">
        <v>36</v>
      </c>
      <c r="B37" s="1">
        <v>45294.865868055553</v>
      </c>
      <c r="C37" s="2">
        <v>45295.067000173614</v>
      </c>
      <c r="D37" s="2">
        <v>45295.822358495374</v>
      </c>
      <c r="E37" t="s">
        <v>11</v>
      </c>
      <c r="F37" t="s">
        <v>4</v>
      </c>
      <c r="G37" t="s">
        <v>15</v>
      </c>
      <c r="H37">
        <v>2</v>
      </c>
      <c r="I37">
        <v>6</v>
      </c>
      <c r="J37" t="s">
        <v>68</v>
      </c>
      <c r="K37" t="s">
        <v>57</v>
      </c>
      <c r="L37" t="s">
        <v>50</v>
      </c>
      <c r="M37" t="s">
        <v>109</v>
      </c>
      <c r="N37" t="b">
        <v>0</v>
      </c>
      <c r="O37" t="b">
        <v>0</v>
      </c>
    </row>
    <row r="38" spans="1:15">
      <c r="A38">
        <v>37</v>
      </c>
      <c r="B38" s="1">
        <v>45294.876782407409</v>
      </c>
      <c r="C38" s="2">
        <v>45294.935361875003</v>
      </c>
      <c r="D38" s="2">
        <v>45295.047949537038</v>
      </c>
      <c r="E38" t="s">
        <v>9</v>
      </c>
      <c r="F38" t="s">
        <v>2</v>
      </c>
      <c r="G38" t="s">
        <v>14</v>
      </c>
      <c r="H38">
        <v>1</v>
      </c>
      <c r="I38">
        <v>6</v>
      </c>
      <c r="J38" t="s">
        <v>49</v>
      </c>
      <c r="K38" t="s">
        <v>71</v>
      </c>
      <c r="L38" t="s">
        <v>110</v>
      </c>
      <c r="M38" t="s">
        <v>111</v>
      </c>
      <c r="N38" t="b">
        <v>0</v>
      </c>
      <c r="O38" t="b">
        <v>0</v>
      </c>
    </row>
    <row r="39" spans="1:15">
      <c r="A39">
        <v>38</v>
      </c>
      <c r="B39" s="1">
        <v>45295.113483796296</v>
      </c>
      <c r="C39" s="2">
        <v>45295.214855439815</v>
      </c>
      <c r="D39" s="2">
        <v>45295.931742766203</v>
      </c>
      <c r="E39" t="s">
        <v>10</v>
      </c>
      <c r="F39" t="s">
        <v>4</v>
      </c>
      <c r="G39" t="s">
        <v>15</v>
      </c>
      <c r="H39">
        <v>7</v>
      </c>
      <c r="I39">
        <v>6</v>
      </c>
      <c r="J39" t="s">
        <v>52</v>
      </c>
      <c r="K39" t="s">
        <v>43</v>
      </c>
      <c r="L39" t="s">
        <v>100</v>
      </c>
      <c r="M39" t="s">
        <v>112</v>
      </c>
      <c r="N39" t="b">
        <v>0</v>
      </c>
      <c r="O39" t="b">
        <v>0</v>
      </c>
    </row>
    <row r="40" spans="1:15">
      <c r="A40">
        <v>39</v>
      </c>
      <c r="B40" s="1">
        <v>45295.189259259256</v>
      </c>
      <c r="C40" s="2">
        <v>45295.705871192127</v>
      </c>
      <c r="D40" s="2">
        <v>45297.794786851853</v>
      </c>
      <c r="E40" t="s">
        <v>11</v>
      </c>
      <c r="F40" t="s">
        <v>4</v>
      </c>
      <c r="G40" t="s">
        <v>17</v>
      </c>
      <c r="H40">
        <v>6</v>
      </c>
      <c r="I40">
        <v>7</v>
      </c>
      <c r="J40" t="s">
        <v>39</v>
      </c>
      <c r="K40" t="s">
        <v>73</v>
      </c>
      <c r="L40" t="s">
        <v>113</v>
      </c>
      <c r="M40" t="s">
        <v>114</v>
      </c>
      <c r="N40" t="b">
        <v>0</v>
      </c>
      <c r="O40" t="b">
        <v>0</v>
      </c>
    </row>
    <row r="41" spans="1:15">
      <c r="A41">
        <v>40</v>
      </c>
      <c r="B41" s="1">
        <v>45295.289351851854</v>
      </c>
      <c r="C41" s="2">
        <v>45295.458321712962</v>
      </c>
      <c r="D41" s="2">
        <v>45295.85622199074</v>
      </c>
      <c r="E41" t="s">
        <v>10</v>
      </c>
      <c r="F41" t="s">
        <v>2</v>
      </c>
      <c r="G41" t="s">
        <v>17</v>
      </c>
      <c r="H41">
        <v>8</v>
      </c>
      <c r="I41">
        <v>7</v>
      </c>
      <c r="J41" t="s">
        <v>68</v>
      </c>
      <c r="K41" t="s">
        <v>36</v>
      </c>
      <c r="L41" t="s">
        <v>87</v>
      </c>
      <c r="M41" t="s">
        <v>115</v>
      </c>
      <c r="N41" t="b">
        <v>0</v>
      </c>
      <c r="O41" t="b">
        <v>0</v>
      </c>
    </row>
    <row r="42" spans="1:15">
      <c r="A42">
        <v>41</v>
      </c>
      <c r="B42" s="1">
        <v>45295.385659722226</v>
      </c>
      <c r="C42" s="2">
        <v>45295.480273518522</v>
      </c>
      <c r="D42" s="2">
        <v>45296.413564409719</v>
      </c>
      <c r="E42" t="s">
        <v>11</v>
      </c>
      <c r="F42" t="s">
        <v>4</v>
      </c>
      <c r="G42" t="s">
        <v>17</v>
      </c>
      <c r="H42">
        <v>5</v>
      </c>
      <c r="I42">
        <v>7</v>
      </c>
      <c r="J42" t="s">
        <v>31</v>
      </c>
      <c r="K42" t="s">
        <v>32</v>
      </c>
      <c r="L42" t="s">
        <v>44</v>
      </c>
      <c r="M42" t="s">
        <v>116</v>
      </c>
      <c r="N42" t="b">
        <v>0</v>
      </c>
      <c r="O42" t="b">
        <v>0</v>
      </c>
    </row>
    <row r="43" spans="1:15">
      <c r="A43">
        <v>42</v>
      </c>
      <c r="B43" s="1">
        <v>45295.395671296297</v>
      </c>
      <c r="C43" s="2">
        <v>45295.473422546296</v>
      </c>
      <c r="D43" s="2">
        <v>45295.653378923613</v>
      </c>
      <c r="E43" t="s">
        <v>9</v>
      </c>
      <c r="F43" t="s">
        <v>4</v>
      </c>
      <c r="G43" t="s">
        <v>16</v>
      </c>
      <c r="H43">
        <v>4</v>
      </c>
      <c r="I43">
        <v>3</v>
      </c>
      <c r="J43" t="s">
        <v>49</v>
      </c>
      <c r="K43" t="s">
        <v>40</v>
      </c>
      <c r="L43" t="s">
        <v>117</v>
      </c>
      <c r="M43" t="s">
        <v>118</v>
      </c>
      <c r="N43" t="b">
        <v>0</v>
      </c>
      <c r="O43" t="b">
        <v>0</v>
      </c>
    </row>
    <row r="44" spans="1:15">
      <c r="A44">
        <v>43</v>
      </c>
      <c r="B44" s="1">
        <v>45295.445972222224</v>
      </c>
      <c r="C44" s="2">
        <v>45295.734303668978</v>
      </c>
      <c r="D44" s="2">
        <v>45295.982773645832</v>
      </c>
      <c r="E44" t="s">
        <v>10</v>
      </c>
      <c r="F44" t="s">
        <v>2</v>
      </c>
      <c r="G44" t="s">
        <v>15</v>
      </c>
      <c r="H44">
        <v>6</v>
      </c>
      <c r="I44">
        <v>7</v>
      </c>
      <c r="J44" t="s">
        <v>52</v>
      </c>
      <c r="K44" t="s">
        <v>73</v>
      </c>
      <c r="L44" t="s">
        <v>106</v>
      </c>
      <c r="M44" t="s">
        <v>119</v>
      </c>
      <c r="N44" t="b">
        <v>0</v>
      </c>
      <c r="O44" t="b">
        <v>0</v>
      </c>
    </row>
    <row r="45" spans="1:15">
      <c r="A45">
        <v>44</v>
      </c>
      <c r="B45" s="1">
        <v>45295.59233796296</v>
      </c>
      <c r="C45" s="2">
        <v>45295.639591296298</v>
      </c>
      <c r="D45" s="2">
        <v>45296.385024062503</v>
      </c>
      <c r="E45" t="s">
        <v>10</v>
      </c>
      <c r="F45" t="s">
        <v>4</v>
      </c>
      <c r="G45" t="s">
        <v>17</v>
      </c>
      <c r="H45">
        <v>7</v>
      </c>
      <c r="I45">
        <v>2</v>
      </c>
      <c r="J45" t="s">
        <v>39</v>
      </c>
      <c r="K45" t="s">
        <v>43</v>
      </c>
      <c r="L45" t="s">
        <v>117</v>
      </c>
      <c r="M45" t="s">
        <v>120</v>
      </c>
      <c r="N45" t="b">
        <v>0</v>
      </c>
      <c r="O45" t="b">
        <v>0</v>
      </c>
    </row>
    <row r="46" spans="1:15">
      <c r="A46">
        <v>45</v>
      </c>
      <c r="B46" s="1">
        <v>45295.606157407405</v>
      </c>
      <c r="C46" s="2">
        <v>45296.138817488427</v>
      </c>
      <c r="D46" s="2">
        <v>45297.805323761575</v>
      </c>
      <c r="E46" t="s">
        <v>11</v>
      </c>
      <c r="F46" t="s">
        <v>4</v>
      </c>
      <c r="G46" t="s">
        <v>16</v>
      </c>
      <c r="H46">
        <v>6</v>
      </c>
      <c r="I46">
        <v>1</v>
      </c>
      <c r="J46" t="s">
        <v>52</v>
      </c>
      <c r="K46" t="s">
        <v>73</v>
      </c>
      <c r="L46" t="s">
        <v>121</v>
      </c>
      <c r="M46" t="s">
        <v>122</v>
      </c>
      <c r="N46" t="b">
        <v>0</v>
      </c>
      <c r="O46" t="b">
        <v>0</v>
      </c>
    </row>
    <row r="47" spans="1:15">
      <c r="A47">
        <v>46</v>
      </c>
      <c r="B47" s="1">
        <v>45295.6325</v>
      </c>
      <c r="C47" s="2">
        <v>45295.730021481482</v>
      </c>
      <c r="E47" t="s">
        <v>9</v>
      </c>
      <c r="F47" t="s">
        <v>3</v>
      </c>
      <c r="G47" t="s">
        <v>15</v>
      </c>
      <c r="H47">
        <v>3</v>
      </c>
      <c r="I47">
        <v>10</v>
      </c>
      <c r="J47" t="s">
        <v>31</v>
      </c>
      <c r="K47" t="s">
        <v>46</v>
      </c>
      <c r="L47" t="s">
        <v>91</v>
      </c>
      <c r="M47" t="s">
        <v>123</v>
      </c>
      <c r="N47" t="b">
        <v>0</v>
      </c>
      <c r="O47" t="b">
        <v>0</v>
      </c>
    </row>
    <row r="48" spans="1:15">
      <c r="A48">
        <v>47</v>
      </c>
      <c r="B48" s="1">
        <v>45295.635358796295</v>
      </c>
      <c r="C48" s="2">
        <v>45295.859348043981</v>
      </c>
      <c r="D48" s="2">
        <v>45296.290268506942</v>
      </c>
      <c r="E48" t="s">
        <v>10</v>
      </c>
      <c r="F48" t="s">
        <v>4</v>
      </c>
      <c r="G48" t="s">
        <v>14</v>
      </c>
      <c r="H48">
        <v>8</v>
      </c>
      <c r="I48">
        <v>2</v>
      </c>
      <c r="J48" t="s">
        <v>35</v>
      </c>
      <c r="K48" t="s">
        <v>36</v>
      </c>
      <c r="L48" t="s">
        <v>124</v>
      </c>
      <c r="M48" t="s">
        <v>125</v>
      </c>
      <c r="N48" t="b">
        <v>0</v>
      </c>
      <c r="O48" t="b">
        <v>0</v>
      </c>
    </row>
    <row r="49" spans="1:15">
      <c r="A49">
        <v>48</v>
      </c>
      <c r="B49" s="1">
        <v>45295.635972222219</v>
      </c>
      <c r="C49" s="2">
        <v>45295.753090694445</v>
      </c>
      <c r="D49" s="2">
        <v>45295.924461388888</v>
      </c>
      <c r="E49" t="s">
        <v>10</v>
      </c>
      <c r="F49" t="s">
        <v>2</v>
      </c>
      <c r="G49" t="s">
        <v>16</v>
      </c>
      <c r="H49">
        <v>6</v>
      </c>
      <c r="I49">
        <v>2</v>
      </c>
      <c r="J49" t="s">
        <v>39</v>
      </c>
      <c r="K49" t="s">
        <v>73</v>
      </c>
      <c r="L49" t="s">
        <v>104</v>
      </c>
      <c r="M49" t="s">
        <v>126</v>
      </c>
      <c r="N49" t="b">
        <v>0</v>
      </c>
      <c r="O49" t="b">
        <v>0</v>
      </c>
    </row>
    <row r="50" spans="1:15">
      <c r="A50">
        <v>49</v>
      </c>
      <c r="B50" s="1">
        <v>45295.648298611108</v>
      </c>
      <c r="C50" s="2">
        <v>45295.91347039352</v>
      </c>
      <c r="D50" s="2">
        <v>45296.658969999997</v>
      </c>
      <c r="E50" t="s">
        <v>11</v>
      </c>
      <c r="F50" t="s">
        <v>4</v>
      </c>
      <c r="G50" t="s">
        <v>15</v>
      </c>
      <c r="H50">
        <v>8</v>
      </c>
      <c r="I50">
        <v>4</v>
      </c>
      <c r="J50" t="s">
        <v>49</v>
      </c>
      <c r="K50" t="s">
        <v>36</v>
      </c>
      <c r="L50" t="s">
        <v>127</v>
      </c>
      <c r="M50" t="s">
        <v>128</v>
      </c>
      <c r="N50" t="b">
        <v>0</v>
      </c>
      <c r="O50" t="b">
        <v>0</v>
      </c>
    </row>
    <row r="51" spans="1:15">
      <c r="A51">
        <v>50</v>
      </c>
      <c r="B51" s="1">
        <v>45295.685624999998</v>
      </c>
      <c r="C51" s="2">
        <v>45296.405667256942</v>
      </c>
      <c r="D51" s="2">
        <v>45298.058820069447</v>
      </c>
      <c r="E51" t="s">
        <v>11</v>
      </c>
      <c r="F51" t="s">
        <v>4</v>
      </c>
      <c r="G51" t="s">
        <v>15</v>
      </c>
      <c r="H51">
        <v>5</v>
      </c>
      <c r="I51">
        <v>10</v>
      </c>
      <c r="J51" t="s">
        <v>68</v>
      </c>
      <c r="K51" t="s">
        <v>32</v>
      </c>
      <c r="L51" t="s">
        <v>127</v>
      </c>
      <c r="M51" t="s">
        <v>129</v>
      </c>
      <c r="N51" t="b">
        <v>0</v>
      </c>
      <c r="O51" t="b">
        <v>0</v>
      </c>
    </row>
    <row r="52" spans="1:15">
      <c r="A52">
        <v>51</v>
      </c>
      <c r="B52" s="1">
        <v>45295.700821759259</v>
      </c>
      <c r="C52" s="2">
        <v>45296.20365210648</v>
      </c>
      <c r="D52" s="2">
        <v>45297.562044247687</v>
      </c>
      <c r="E52" t="s">
        <v>11</v>
      </c>
      <c r="F52" t="s">
        <v>4</v>
      </c>
      <c r="G52" t="s">
        <v>15</v>
      </c>
      <c r="H52">
        <v>4</v>
      </c>
      <c r="I52">
        <v>9</v>
      </c>
      <c r="J52" t="s">
        <v>68</v>
      </c>
      <c r="K52" t="s">
        <v>40</v>
      </c>
      <c r="L52" t="s">
        <v>66</v>
      </c>
      <c r="M52" t="s">
        <v>130</v>
      </c>
      <c r="N52" t="b">
        <v>0</v>
      </c>
      <c r="O52" t="b">
        <v>0</v>
      </c>
    </row>
    <row r="53" spans="1:15">
      <c r="A53">
        <v>52</v>
      </c>
      <c r="B53" s="1">
        <v>45295.890925925924</v>
      </c>
      <c r="C53" s="2">
        <v>45296.07619216435</v>
      </c>
      <c r="D53" s="2">
        <v>45296.433768634262</v>
      </c>
      <c r="E53" t="s">
        <v>10</v>
      </c>
      <c r="F53" t="s">
        <v>4</v>
      </c>
      <c r="G53" t="s">
        <v>15</v>
      </c>
      <c r="H53">
        <v>7</v>
      </c>
      <c r="I53">
        <v>8</v>
      </c>
      <c r="J53" t="s">
        <v>39</v>
      </c>
      <c r="K53" t="s">
        <v>43</v>
      </c>
      <c r="L53" t="s">
        <v>131</v>
      </c>
      <c r="M53" t="s">
        <v>132</v>
      </c>
      <c r="N53" t="b">
        <v>0</v>
      </c>
      <c r="O53" t="b">
        <v>0</v>
      </c>
    </row>
    <row r="54" spans="1:15">
      <c r="A54">
        <v>53</v>
      </c>
      <c r="B54" s="1">
        <v>45295.912152777775</v>
      </c>
      <c r="C54" s="2">
        <v>45296.132544768516</v>
      </c>
      <c r="D54" s="2">
        <v>45296.73996658565</v>
      </c>
      <c r="E54" t="s">
        <v>10</v>
      </c>
      <c r="F54" t="s">
        <v>2</v>
      </c>
      <c r="G54" t="s">
        <v>15</v>
      </c>
      <c r="H54">
        <v>5</v>
      </c>
      <c r="I54">
        <v>2</v>
      </c>
      <c r="J54" t="s">
        <v>49</v>
      </c>
      <c r="K54" t="s">
        <v>32</v>
      </c>
      <c r="L54" t="s">
        <v>47</v>
      </c>
      <c r="M54" t="s">
        <v>133</v>
      </c>
      <c r="N54" t="b">
        <v>0</v>
      </c>
      <c r="O54" t="b">
        <v>0</v>
      </c>
    </row>
    <row r="55" spans="1:15">
      <c r="A55">
        <v>54</v>
      </c>
      <c r="B55" s="1">
        <v>45295.951273148145</v>
      </c>
      <c r="C55" s="2">
        <v>45296.740297453704</v>
      </c>
      <c r="D55" s="2">
        <v>45297.683307175925</v>
      </c>
      <c r="E55" t="s">
        <v>11</v>
      </c>
      <c r="F55" t="s">
        <v>2</v>
      </c>
      <c r="G55" t="s">
        <v>15</v>
      </c>
      <c r="H55">
        <v>7</v>
      </c>
      <c r="I55">
        <v>7</v>
      </c>
      <c r="J55" t="s">
        <v>49</v>
      </c>
      <c r="K55" t="s">
        <v>43</v>
      </c>
      <c r="L55" t="s">
        <v>134</v>
      </c>
      <c r="M55" t="s">
        <v>135</v>
      </c>
      <c r="N55" t="b">
        <v>0</v>
      </c>
      <c r="O55" t="b">
        <v>0</v>
      </c>
    </row>
    <row r="56" spans="1:15">
      <c r="A56">
        <v>55</v>
      </c>
      <c r="B56" s="1">
        <v>45296.005428240744</v>
      </c>
      <c r="C56" s="2">
        <v>45296.567888113423</v>
      </c>
      <c r="D56" s="2">
        <v>45296.830425300926</v>
      </c>
      <c r="E56" t="s">
        <v>11</v>
      </c>
      <c r="F56" t="s">
        <v>4</v>
      </c>
      <c r="G56" t="s">
        <v>17</v>
      </c>
      <c r="H56">
        <v>8</v>
      </c>
      <c r="I56">
        <v>9</v>
      </c>
      <c r="J56" t="s">
        <v>31</v>
      </c>
      <c r="K56" t="s">
        <v>36</v>
      </c>
      <c r="L56" t="s">
        <v>136</v>
      </c>
      <c r="M56" t="s">
        <v>137</v>
      </c>
      <c r="N56" t="b">
        <v>0</v>
      </c>
      <c r="O56" t="b">
        <v>0</v>
      </c>
    </row>
    <row r="57" spans="1:15">
      <c r="A57">
        <v>56</v>
      </c>
      <c r="B57" s="1">
        <v>45296.015162037038</v>
      </c>
      <c r="C57" s="2">
        <v>45296.732247766202</v>
      </c>
      <c r="D57" s="2">
        <v>45298.013341631944</v>
      </c>
      <c r="E57" t="s">
        <v>11</v>
      </c>
      <c r="F57" t="s">
        <v>4</v>
      </c>
      <c r="G57" t="s">
        <v>14</v>
      </c>
      <c r="H57">
        <v>3</v>
      </c>
      <c r="I57">
        <v>4</v>
      </c>
      <c r="J57" t="s">
        <v>31</v>
      </c>
      <c r="K57" t="s">
        <v>46</v>
      </c>
      <c r="L57" t="s">
        <v>138</v>
      </c>
      <c r="M57" t="s">
        <v>139</v>
      </c>
      <c r="N57" t="b">
        <v>0</v>
      </c>
      <c r="O57" t="b">
        <v>0</v>
      </c>
    </row>
    <row r="58" spans="1:15">
      <c r="A58">
        <v>57</v>
      </c>
      <c r="B58" s="1">
        <v>45296.028321759259</v>
      </c>
      <c r="C58" s="2">
        <v>45296.428334270837</v>
      </c>
      <c r="D58" s="2">
        <v>45298.24330209491</v>
      </c>
      <c r="E58" t="s">
        <v>11</v>
      </c>
      <c r="F58" t="s">
        <v>4</v>
      </c>
      <c r="G58" t="s">
        <v>15</v>
      </c>
      <c r="H58">
        <v>2</v>
      </c>
      <c r="I58">
        <v>3</v>
      </c>
      <c r="J58" t="s">
        <v>49</v>
      </c>
      <c r="K58" t="s">
        <v>57</v>
      </c>
      <c r="L58" t="s">
        <v>64</v>
      </c>
      <c r="M58" t="s">
        <v>140</v>
      </c>
      <c r="N58" t="b">
        <v>0</v>
      </c>
      <c r="O58" t="b">
        <v>0</v>
      </c>
    </row>
    <row r="59" spans="1:15">
      <c r="A59">
        <v>58</v>
      </c>
      <c r="B59" s="1">
        <v>45296.050509259258</v>
      </c>
      <c r="C59" s="2">
        <v>45296.811464270831</v>
      </c>
      <c r="D59" s="2">
        <v>45298.820032129632</v>
      </c>
      <c r="E59" t="s">
        <v>11</v>
      </c>
      <c r="F59" t="s">
        <v>4</v>
      </c>
      <c r="G59" t="s">
        <v>17</v>
      </c>
      <c r="H59">
        <v>2</v>
      </c>
      <c r="I59">
        <v>9</v>
      </c>
      <c r="J59" t="s">
        <v>31</v>
      </c>
      <c r="K59" t="s">
        <v>57</v>
      </c>
      <c r="L59" t="s">
        <v>131</v>
      </c>
      <c r="M59" t="s">
        <v>141</v>
      </c>
      <c r="N59" t="b">
        <v>1</v>
      </c>
      <c r="O59" t="b">
        <v>0</v>
      </c>
    </row>
    <row r="60" spans="1:15">
      <c r="A60">
        <v>59</v>
      </c>
      <c r="B60" s="1">
        <v>45296.055486111109</v>
      </c>
      <c r="C60" s="2">
        <v>45296.168206921298</v>
      </c>
      <c r="D60" s="2">
        <v>45296.164092511572</v>
      </c>
      <c r="E60" t="s">
        <v>9</v>
      </c>
      <c r="F60" t="s">
        <v>4</v>
      </c>
      <c r="G60" t="s">
        <v>15</v>
      </c>
      <c r="H60">
        <v>5</v>
      </c>
      <c r="I60">
        <v>2</v>
      </c>
      <c r="J60" t="s">
        <v>39</v>
      </c>
      <c r="K60" t="s">
        <v>32</v>
      </c>
      <c r="L60" t="s">
        <v>33</v>
      </c>
      <c r="M60" t="s">
        <v>142</v>
      </c>
      <c r="N60" t="b">
        <v>0</v>
      </c>
      <c r="O60" t="b">
        <v>0</v>
      </c>
    </row>
    <row r="61" spans="1:15">
      <c r="A61">
        <v>60</v>
      </c>
      <c r="B61" s="1">
        <v>45296.074884259258</v>
      </c>
      <c r="C61" s="2">
        <v>45296.124628379628</v>
      </c>
      <c r="D61" s="2">
        <v>45296.950288043983</v>
      </c>
      <c r="E61" t="s">
        <v>10</v>
      </c>
      <c r="F61" t="s">
        <v>4</v>
      </c>
      <c r="G61" t="s">
        <v>14</v>
      </c>
      <c r="H61">
        <v>7</v>
      </c>
      <c r="I61">
        <v>10</v>
      </c>
      <c r="J61" t="s">
        <v>49</v>
      </c>
      <c r="K61" t="s">
        <v>43</v>
      </c>
      <c r="L61" t="s">
        <v>87</v>
      </c>
      <c r="M61" t="s">
        <v>143</v>
      </c>
      <c r="N61" t="b">
        <v>0</v>
      </c>
      <c r="O61" t="b">
        <v>0</v>
      </c>
    </row>
    <row r="62" spans="1:15">
      <c r="A62">
        <v>61</v>
      </c>
      <c r="B62" s="1">
        <v>45296.095324074071</v>
      </c>
      <c r="C62" s="2">
        <v>45296.826602118053</v>
      </c>
      <c r="D62" s="2">
        <v>45298.019664189815</v>
      </c>
      <c r="E62" t="s">
        <v>11</v>
      </c>
      <c r="F62" t="s">
        <v>4</v>
      </c>
      <c r="G62" t="s">
        <v>15</v>
      </c>
      <c r="H62">
        <v>8</v>
      </c>
      <c r="I62">
        <v>5</v>
      </c>
      <c r="J62" t="s">
        <v>31</v>
      </c>
      <c r="K62" t="s">
        <v>36</v>
      </c>
      <c r="L62" t="s">
        <v>87</v>
      </c>
      <c r="M62" t="s">
        <v>144</v>
      </c>
      <c r="N62" t="b">
        <v>0</v>
      </c>
      <c r="O62" t="b">
        <v>0</v>
      </c>
    </row>
    <row r="63" spans="1:15">
      <c r="A63">
        <v>62</v>
      </c>
      <c r="B63" s="1">
        <v>45296.157326388886</v>
      </c>
      <c r="C63" s="2">
        <v>45296.41821541667</v>
      </c>
      <c r="D63" s="2">
        <v>45297.008405092594</v>
      </c>
      <c r="E63" t="s">
        <v>10</v>
      </c>
      <c r="F63" t="s">
        <v>4</v>
      </c>
      <c r="G63" t="s">
        <v>15</v>
      </c>
      <c r="H63">
        <v>1</v>
      </c>
      <c r="I63">
        <v>8</v>
      </c>
      <c r="J63" t="s">
        <v>35</v>
      </c>
      <c r="K63" t="s">
        <v>71</v>
      </c>
      <c r="L63" t="s">
        <v>100</v>
      </c>
      <c r="M63" t="s">
        <v>145</v>
      </c>
      <c r="N63" t="b">
        <v>0</v>
      </c>
      <c r="O63" t="b">
        <v>0</v>
      </c>
    </row>
    <row r="64" spans="1:15">
      <c r="A64">
        <v>63</v>
      </c>
      <c r="B64" s="1">
        <v>45296.173877314817</v>
      </c>
      <c r="C64" s="2">
        <v>45296.435032164351</v>
      </c>
      <c r="D64" s="2">
        <v>45296.690823657409</v>
      </c>
      <c r="E64" t="s">
        <v>10</v>
      </c>
      <c r="F64" t="s">
        <v>4</v>
      </c>
      <c r="G64" t="s">
        <v>16</v>
      </c>
      <c r="H64">
        <v>1</v>
      </c>
      <c r="I64">
        <v>4</v>
      </c>
      <c r="J64" t="s">
        <v>49</v>
      </c>
      <c r="K64" t="s">
        <v>71</v>
      </c>
      <c r="L64" t="s">
        <v>37</v>
      </c>
      <c r="M64" t="s">
        <v>146</v>
      </c>
      <c r="N64" t="b">
        <v>0</v>
      </c>
      <c r="O64" t="b">
        <v>0</v>
      </c>
    </row>
    <row r="65" spans="1:15">
      <c r="A65">
        <v>64</v>
      </c>
      <c r="B65" s="1">
        <v>45296.178993055553</v>
      </c>
      <c r="C65" s="2">
        <v>45296.330244502315</v>
      </c>
      <c r="D65" s="2">
        <v>45297.058148009259</v>
      </c>
      <c r="E65" t="s">
        <v>10</v>
      </c>
      <c r="F65" t="s">
        <v>4</v>
      </c>
      <c r="G65" t="s">
        <v>14</v>
      </c>
      <c r="H65">
        <v>6</v>
      </c>
      <c r="I65">
        <v>8</v>
      </c>
      <c r="J65" t="s">
        <v>31</v>
      </c>
      <c r="K65" t="s">
        <v>73</v>
      </c>
      <c r="L65" t="s">
        <v>121</v>
      </c>
      <c r="M65" t="s">
        <v>147</v>
      </c>
      <c r="N65" t="b">
        <v>0</v>
      </c>
      <c r="O65" t="b">
        <v>0</v>
      </c>
    </row>
    <row r="66" spans="1:15">
      <c r="A66">
        <v>65</v>
      </c>
      <c r="B66" s="1">
        <v>45296.180081018516</v>
      </c>
      <c r="C66" s="2">
        <v>45296.447368958332</v>
      </c>
      <c r="E66" t="s">
        <v>10</v>
      </c>
      <c r="F66" t="s">
        <v>80</v>
      </c>
      <c r="G66" t="s">
        <v>17</v>
      </c>
      <c r="H66">
        <v>3</v>
      </c>
      <c r="I66">
        <v>10</v>
      </c>
      <c r="J66" t="s">
        <v>39</v>
      </c>
      <c r="K66" t="s">
        <v>46</v>
      </c>
      <c r="L66" t="s">
        <v>106</v>
      </c>
      <c r="M66" t="s">
        <v>148</v>
      </c>
      <c r="N66" t="b">
        <v>0</v>
      </c>
      <c r="O66" t="b">
        <v>0</v>
      </c>
    </row>
    <row r="67" spans="1:15">
      <c r="A67">
        <v>66</v>
      </c>
      <c r="B67" s="1">
        <v>45296.196377314816</v>
      </c>
      <c r="C67" s="2">
        <v>45296.811810185187</v>
      </c>
      <c r="D67" s="2">
        <v>45298.162264166669</v>
      </c>
      <c r="E67" t="s">
        <v>11</v>
      </c>
      <c r="F67" t="s">
        <v>4</v>
      </c>
      <c r="G67" t="s">
        <v>14</v>
      </c>
      <c r="H67">
        <v>4</v>
      </c>
      <c r="I67">
        <v>5</v>
      </c>
      <c r="J67" t="s">
        <v>49</v>
      </c>
      <c r="K67" t="s">
        <v>40</v>
      </c>
      <c r="L67" t="s">
        <v>104</v>
      </c>
      <c r="M67" t="s">
        <v>149</v>
      </c>
      <c r="N67" t="b">
        <v>0</v>
      </c>
      <c r="O67" t="b">
        <v>0</v>
      </c>
    </row>
    <row r="68" spans="1:15">
      <c r="A68">
        <v>67</v>
      </c>
      <c r="B68" s="1">
        <v>45296.226666666669</v>
      </c>
      <c r="C68" s="2">
        <v>45297.003202395834</v>
      </c>
      <c r="D68" s="2">
        <v>45299.105227569446</v>
      </c>
      <c r="E68" t="s">
        <v>11</v>
      </c>
      <c r="F68" t="s">
        <v>4</v>
      </c>
      <c r="G68" t="s">
        <v>17</v>
      </c>
      <c r="H68">
        <v>1</v>
      </c>
      <c r="I68">
        <v>3</v>
      </c>
      <c r="J68" t="s">
        <v>52</v>
      </c>
      <c r="K68" t="s">
        <v>71</v>
      </c>
      <c r="L68" t="s">
        <v>64</v>
      </c>
      <c r="M68" t="s">
        <v>150</v>
      </c>
      <c r="N68" t="b">
        <v>1</v>
      </c>
      <c r="O68" t="b">
        <v>0</v>
      </c>
    </row>
    <row r="69" spans="1:15">
      <c r="A69">
        <v>68</v>
      </c>
      <c r="B69" s="1">
        <v>45296.240057870367</v>
      </c>
      <c r="C69" s="2">
        <v>45296.283850844906</v>
      </c>
      <c r="D69" s="2">
        <v>45296.552082939816</v>
      </c>
      <c r="E69" t="s">
        <v>9</v>
      </c>
      <c r="F69" t="s">
        <v>4</v>
      </c>
      <c r="G69" t="s">
        <v>15</v>
      </c>
      <c r="H69">
        <v>1</v>
      </c>
      <c r="I69">
        <v>1</v>
      </c>
      <c r="J69" t="s">
        <v>35</v>
      </c>
      <c r="K69" t="s">
        <v>71</v>
      </c>
      <c r="L69" t="s">
        <v>47</v>
      </c>
      <c r="M69" t="s">
        <v>151</v>
      </c>
      <c r="N69" t="b">
        <v>1</v>
      </c>
      <c r="O69" t="b">
        <v>0</v>
      </c>
    </row>
    <row r="70" spans="1:15">
      <c r="A70">
        <v>69</v>
      </c>
      <c r="B70" s="1">
        <v>45296.358032407406</v>
      </c>
      <c r="C70" s="2">
        <v>45296.610728854168</v>
      </c>
      <c r="D70" s="2">
        <v>45297.292921446759</v>
      </c>
      <c r="E70" t="s">
        <v>10</v>
      </c>
      <c r="F70" t="s">
        <v>4</v>
      </c>
      <c r="G70" t="s">
        <v>17</v>
      </c>
      <c r="H70">
        <v>5</v>
      </c>
      <c r="I70">
        <v>10</v>
      </c>
      <c r="J70" t="s">
        <v>31</v>
      </c>
      <c r="K70" t="s">
        <v>32</v>
      </c>
      <c r="L70" t="s">
        <v>64</v>
      </c>
      <c r="M70" t="s">
        <v>152</v>
      </c>
      <c r="N70" t="b">
        <v>1</v>
      </c>
      <c r="O70" t="b">
        <v>0</v>
      </c>
    </row>
    <row r="71" spans="1:15">
      <c r="A71">
        <v>70</v>
      </c>
      <c r="B71" s="1">
        <v>45296.477141203701</v>
      </c>
      <c r="C71" s="2">
        <v>45296.515768229168</v>
      </c>
      <c r="D71" s="2">
        <v>45296.566600081016</v>
      </c>
      <c r="E71" t="s">
        <v>8</v>
      </c>
      <c r="F71" t="s">
        <v>4</v>
      </c>
      <c r="G71" t="s">
        <v>14</v>
      </c>
      <c r="H71">
        <v>6</v>
      </c>
      <c r="I71">
        <v>10</v>
      </c>
      <c r="J71" t="s">
        <v>39</v>
      </c>
      <c r="K71" t="s">
        <v>73</v>
      </c>
      <c r="L71" t="s">
        <v>153</v>
      </c>
      <c r="M71" t="s">
        <v>154</v>
      </c>
      <c r="N71" t="b">
        <v>1</v>
      </c>
      <c r="O71" t="b">
        <v>0</v>
      </c>
    </row>
    <row r="72" spans="1:15">
      <c r="A72">
        <v>71</v>
      </c>
      <c r="B72" s="1">
        <v>45296.544999999998</v>
      </c>
      <c r="C72" s="2">
        <v>45297.280059722223</v>
      </c>
      <c r="E72" t="s">
        <v>11</v>
      </c>
      <c r="F72" t="s">
        <v>3</v>
      </c>
      <c r="G72" t="s">
        <v>16</v>
      </c>
      <c r="H72">
        <v>8</v>
      </c>
      <c r="I72">
        <v>7</v>
      </c>
      <c r="J72" t="s">
        <v>68</v>
      </c>
      <c r="K72" t="s">
        <v>36</v>
      </c>
      <c r="L72" t="s">
        <v>131</v>
      </c>
      <c r="M72" t="s">
        <v>155</v>
      </c>
      <c r="N72" t="b">
        <v>0</v>
      </c>
      <c r="O72" t="b">
        <v>0</v>
      </c>
    </row>
    <row r="73" spans="1:15">
      <c r="A73">
        <v>72</v>
      </c>
      <c r="B73" s="1">
        <v>45296.552083333336</v>
      </c>
      <c r="C73" s="2">
        <v>45296.669361446759</v>
      </c>
      <c r="D73" s="2">
        <v>45297.42784802083</v>
      </c>
      <c r="E73" t="s">
        <v>10</v>
      </c>
      <c r="F73" t="s">
        <v>4</v>
      </c>
      <c r="G73" t="s">
        <v>17</v>
      </c>
      <c r="H73">
        <v>4</v>
      </c>
      <c r="I73">
        <v>1</v>
      </c>
      <c r="J73" t="s">
        <v>68</v>
      </c>
      <c r="K73" t="s">
        <v>40</v>
      </c>
      <c r="L73" t="s">
        <v>156</v>
      </c>
      <c r="M73" t="s">
        <v>157</v>
      </c>
      <c r="N73" t="b">
        <v>0</v>
      </c>
      <c r="O73" t="b">
        <v>0</v>
      </c>
    </row>
    <row r="74" spans="1:15">
      <c r="A74">
        <v>73</v>
      </c>
      <c r="B74" s="1">
        <v>45296.564745370371</v>
      </c>
      <c r="C74" s="2">
        <v>45296.740351134256</v>
      </c>
      <c r="E74" t="s">
        <v>10</v>
      </c>
      <c r="F74" t="s">
        <v>80</v>
      </c>
      <c r="G74" t="s">
        <v>17</v>
      </c>
      <c r="H74">
        <v>6</v>
      </c>
      <c r="I74">
        <v>9</v>
      </c>
      <c r="J74" t="s">
        <v>35</v>
      </c>
      <c r="K74" t="s">
        <v>73</v>
      </c>
      <c r="L74" t="s">
        <v>158</v>
      </c>
      <c r="M74" t="s">
        <v>159</v>
      </c>
      <c r="N74" t="b">
        <v>0</v>
      </c>
      <c r="O74" t="b">
        <v>0</v>
      </c>
    </row>
    <row r="75" spans="1:15">
      <c r="A75">
        <v>74</v>
      </c>
      <c r="B75" s="1">
        <v>45296.639699074076</v>
      </c>
      <c r="C75" s="2">
        <v>45296.774378402777</v>
      </c>
      <c r="D75" s="2">
        <v>45297.515152997687</v>
      </c>
      <c r="E75" t="s">
        <v>10</v>
      </c>
      <c r="F75" t="s">
        <v>4</v>
      </c>
      <c r="G75" t="s">
        <v>14</v>
      </c>
      <c r="H75">
        <v>7</v>
      </c>
      <c r="I75">
        <v>5</v>
      </c>
      <c r="J75" t="s">
        <v>68</v>
      </c>
      <c r="K75" t="s">
        <v>43</v>
      </c>
      <c r="L75" t="s">
        <v>50</v>
      </c>
      <c r="M75" t="s">
        <v>160</v>
      </c>
      <c r="N75" t="b">
        <v>0</v>
      </c>
      <c r="O75" t="b">
        <v>0</v>
      </c>
    </row>
    <row r="76" spans="1:15">
      <c r="A76">
        <v>75</v>
      </c>
      <c r="B76" s="1">
        <v>45296.733506944445</v>
      </c>
      <c r="C76" s="2">
        <v>45296.985092847222</v>
      </c>
      <c r="D76" s="2">
        <v>45297.168126203702</v>
      </c>
      <c r="E76" t="s">
        <v>10</v>
      </c>
      <c r="F76" t="s">
        <v>2</v>
      </c>
      <c r="G76" t="s">
        <v>14</v>
      </c>
      <c r="H76">
        <v>4</v>
      </c>
      <c r="I76">
        <v>3</v>
      </c>
      <c r="J76" t="s">
        <v>52</v>
      </c>
      <c r="K76" t="s">
        <v>40</v>
      </c>
      <c r="L76" t="s">
        <v>91</v>
      </c>
      <c r="M76" t="s">
        <v>161</v>
      </c>
      <c r="N76" t="b">
        <v>0</v>
      </c>
      <c r="O76" t="b">
        <v>0</v>
      </c>
    </row>
    <row r="77" spans="1:15">
      <c r="A77">
        <v>76</v>
      </c>
      <c r="B77" s="1">
        <v>45296.772719907407</v>
      </c>
      <c r="C77" s="2">
        <v>45296.836960960645</v>
      </c>
      <c r="D77" s="2">
        <v>45297.14871559028</v>
      </c>
      <c r="E77" t="s">
        <v>10</v>
      </c>
      <c r="F77" t="s">
        <v>4</v>
      </c>
      <c r="G77" t="s">
        <v>15</v>
      </c>
      <c r="H77">
        <v>2</v>
      </c>
      <c r="I77">
        <v>4</v>
      </c>
      <c r="J77" t="s">
        <v>68</v>
      </c>
      <c r="K77" t="s">
        <v>57</v>
      </c>
      <c r="L77" t="s">
        <v>98</v>
      </c>
      <c r="M77" t="s">
        <v>162</v>
      </c>
      <c r="N77" t="b">
        <v>0</v>
      </c>
      <c r="O77" t="b">
        <v>0</v>
      </c>
    </row>
    <row r="78" spans="1:15">
      <c r="A78">
        <v>77</v>
      </c>
      <c r="B78" s="1">
        <v>45296.865347222221</v>
      </c>
      <c r="C78" s="2">
        <v>45297.07750619213</v>
      </c>
      <c r="D78" s="2">
        <v>45297.681141273148</v>
      </c>
      <c r="E78" t="s">
        <v>11</v>
      </c>
      <c r="F78" t="s">
        <v>4</v>
      </c>
      <c r="G78" t="s">
        <v>17</v>
      </c>
      <c r="H78">
        <v>7</v>
      </c>
      <c r="I78">
        <v>10</v>
      </c>
      <c r="J78" t="s">
        <v>52</v>
      </c>
      <c r="K78" t="s">
        <v>43</v>
      </c>
      <c r="L78" t="s">
        <v>66</v>
      </c>
      <c r="M78" t="s">
        <v>163</v>
      </c>
      <c r="N78" t="b">
        <v>0</v>
      </c>
      <c r="O78" t="b">
        <v>0</v>
      </c>
    </row>
    <row r="79" spans="1:15">
      <c r="A79">
        <v>78</v>
      </c>
      <c r="B79" s="1">
        <v>45296.928240740737</v>
      </c>
      <c r="C79" s="2">
        <v>45297.061434444448</v>
      </c>
      <c r="E79" t="s">
        <v>10</v>
      </c>
      <c r="F79" t="s">
        <v>3</v>
      </c>
      <c r="G79" t="s">
        <v>15</v>
      </c>
      <c r="H79">
        <v>1</v>
      </c>
      <c r="I79">
        <v>8</v>
      </c>
      <c r="J79" t="s">
        <v>39</v>
      </c>
      <c r="K79" t="s">
        <v>71</v>
      </c>
      <c r="L79" t="s">
        <v>164</v>
      </c>
      <c r="M79" t="s">
        <v>165</v>
      </c>
      <c r="N79" t="b">
        <v>0</v>
      </c>
      <c r="O79" t="b">
        <v>0</v>
      </c>
    </row>
    <row r="80" spans="1:15">
      <c r="A80">
        <v>79</v>
      </c>
      <c r="B80" s="1">
        <v>45296.984178240738</v>
      </c>
      <c r="C80" s="2">
        <v>45297.035643553238</v>
      </c>
      <c r="D80" s="2">
        <v>45297.279896261571</v>
      </c>
      <c r="E80" t="s">
        <v>9</v>
      </c>
      <c r="F80" t="s">
        <v>4</v>
      </c>
      <c r="G80" t="s">
        <v>17</v>
      </c>
      <c r="H80">
        <v>3</v>
      </c>
      <c r="I80">
        <v>6</v>
      </c>
      <c r="J80" t="s">
        <v>49</v>
      </c>
      <c r="K80" t="s">
        <v>46</v>
      </c>
      <c r="L80" t="s">
        <v>81</v>
      </c>
      <c r="M80" t="s">
        <v>166</v>
      </c>
      <c r="N80" t="b">
        <v>0</v>
      </c>
      <c r="O80" t="b">
        <v>0</v>
      </c>
    </row>
    <row r="81" spans="1:15">
      <c r="A81">
        <v>80</v>
      </c>
      <c r="B81" s="1">
        <v>45297.012384259258</v>
      </c>
      <c r="C81" s="2">
        <v>45297.122079502318</v>
      </c>
      <c r="D81" s="2">
        <v>45297.697289039352</v>
      </c>
      <c r="E81" t="s">
        <v>10</v>
      </c>
      <c r="F81" t="s">
        <v>4</v>
      </c>
      <c r="G81" t="s">
        <v>14</v>
      </c>
      <c r="H81">
        <v>2</v>
      </c>
      <c r="I81">
        <v>8</v>
      </c>
      <c r="J81" t="s">
        <v>49</v>
      </c>
      <c r="K81" t="s">
        <v>57</v>
      </c>
      <c r="L81" t="s">
        <v>124</v>
      </c>
      <c r="M81" t="s">
        <v>167</v>
      </c>
      <c r="N81" t="b">
        <v>0</v>
      </c>
      <c r="O81" t="b">
        <v>0</v>
      </c>
    </row>
    <row r="82" spans="1:15">
      <c r="A82">
        <v>81</v>
      </c>
      <c r="B82" s="1">
        <v>45297.080787037034</v>
      </c>
      <c r="C82" s="2">
        <v>45297.180366863424</v>
      </c>
      <c r="D82" s="2">
        <v>45297.634900567129</v>
      </c>
      <c r="E82" t="s">
        <v>10</v>
      </c>
      <c r="F82" t="s">
        <v>4</v>
      </c>
      <c r="G82" t="s">
        <v>15</v>
      </c>
      <c r="H82">
        <v>6</v>
      </c>
      <c r="I82">
        <v>9</v>
      </c>
      <c r="J82" t="s">
        <v>39</v>
      </c>
      <c r="K82" t="s">
        <v>73</v>
      </c>
      <c r="L82" t="s">
        <v>156</v>
      </c>
      <c r="M82" t="s">
        <v>168</v>
      </c>
      <c r="N82" t="b">
        <v>0</v>
      </c>
      <c r="O82" t="b">
        <v>0</v>
      </c>
    </row>
    <row r="83" spans="1:15">
      <c r="A83">
        <v>82</v>
      </c>
      <c r="B83" s="1">
        <v>45297.232349537036</v>
      </c>
      <c r="C83" s="2">
        <v>45297.525124618056</v>
      </c>
      <c r="D83" s="2">
        <v>45298.161238611108</v>
      </c>
      <c r="E83" t="s">
        <v>10</v>
      </c>
      <c r="F83" t="s">
        <v>4</v>
      </c>
      <c r="G83" t="s">
        <v>17</v>
      </c>
      <c r="H83">
        <v>3</v>
      </c>
      <c r="I83">
        <v>7</v>
      </c>
      <c r="J83" t="s">
        <v>52</v>
      </c>
      <c r="K83" t="s">
        <v>46</v>
      </c>
      <c r="L83" t="s">
        <v>106</v>
      </c>
      <c r="M83" t="s">
        <v>169</v>
      </c>
      <c r="N83" t="b">
        <v>1</v>
      </c>
      <c r="O83" t="b">
        <v>0</v>
      </c>
    </row>
    <row r="84" spans="1:15">
      <c r="A84">
        <v>83</v>
      </c>
      <c r="B84" s="1">
        <v>45297.245104166665</v>
      </c>
      <c r="C84" s="2">
        <v>45297.682414583331</v>
      </c>
      <c r="D84" s="2">
        <v>45299.120517175928</v>
      </c>
      <c r="E84" t="s">
        <v>11</v>
      </c>
      <c r="F84" t="s">
        <v>4</v>
      </c>
      <c r="G84" t="s">
        <v>15</v>
      </c>
      <c r="H84">
        <v>3</v>
      </c>
      <c r="I84">
        <v>4</v>
      </c>
      <c r="J84" t="s">
        <v>68</v>
      </c>
      <c r="K84" t="s">
        <v>46</v>
      </c>
      <c r="L84" t="s">
        <v>62</v>
      </c>
      <c r="M84" t="s">
        <v>170</v>
      </c>
      <c r="N84" t="b">
        <v>0</v>
      </c>
      <c r="O84" t="b">
        <v>0</v>
      </c>
    </row>
    <row r="85" spans="1:15">
      <c r="A85">
        <v>84</v>
      </c>
      <c r="B85" s="1">
        <v>45297.610729166663</v>
      </c>
      <c r="C85" s="2">
        <v>45297.889466157409</v>
      </c>
      <c r="E85" t="s">
        <v>10</v>
      </c>
      <c r="F85" t="s">
        <v>3</v>
      </c>
      <c r="G85" t="s">
        <v>15</v>
      </c>
      <c r="H85">
        <v>6</v>
      </c>
      <c r="I85">
        <v>1</v>
      </c>
      <c r="J85" t="s">
        <v>31</v>
      </c>
      <c r="K85" t="s">
        <v>73</v>
      </c>
      <c r="L85" t="s">
        <v>171</v>
      </c>
      <c r="M85" t="s">
        <v>172</v>
      </c>
      <c r="N85" t="b">
        <v>0</v>
      </c>
      <c r="O85" t="b">
        <v>0</v>
      </c>
    </row>
    <row r="86" spans="1:15">
      <c r="A86">
        <v>85</v>
      </c>
      <c r="B86" s="1">
        <v>45297.781342592592</v>
      </c>
      <c r="C86" s="2">
        <v>45298.01110609954</v>
      </c>
      <c r="D86" s="2">
        <v>45299.793756944448</v>
      </c>
      <c r="E86" t="s">
        <v>11</v>
      </c>
      <c r="F86" t="s">
        <v>4</v>
      </c>
      <c r="G86" t="s">
        <v>14</v>
      </c>
      <c r="H86">
        <v>3</v>
      </c>
      <c r="I86">
        <v>2</v>
      </c>
      <c r="J86" t="s">
        <v>31</v>
      </c>
      <c r="K86" t="s">
        <v>46</v>
      </c>
      <c r="L86" t="s">
        <v>153</v>
      </c>
      <c r="M86" t="s">
        <v>173</v>
      </c>
      <c r="N86" t="b">
        <v>0</v>
      </c>
      <c r="O86" t="b">
        <v>0</v>
      </c>
    </row>
    <row r="87" spans="1:15">
      <c r="A87">
        <v>86</v>
      </c>
      <c r="B87" s="1">
        <v>45297.899826388886</v>
      </c>
      <c r="C87" s="2">
        <v>45297.951747476851</v>
      </c>
      <c r="E87" t="s">
        <v>9</v>
      </c>
      <c r="F87" t="s">
        <v>3</v>
      </c>
      <c r="G87" t="s">
        <v>17</v>
      </c>
      <c r="H87">
        <v>3</v>
      </c>
      <c r="I87">
        <v>3</v>
      </c>
      <c r="J87" t="s">
        <v>35</v>
      </c>
      <c r="K87" t="s">
        <v>46</v>
      </c>
      <c r="L87" t="s">
        <v>174</v>
      </c>
      <c r="M87" t="s">
        <v>175</v>
      </c>
      <c r="N87" t="b">
        <v>0</v>
      </c>
      <c r="O87" t="b">
        <v>0</v>
      </c>
    </row>
    <row r="88" spans="1:15">
      <c r="A88">
        <v>87</v>
      </c>
      <c r="B88" s="1">
        <v>45297.991620370369</v>
      </c>
      <c r="C88" s="2">
        <v>45298.466102025464</v>
      </c>
      <c r="D88" s="2">
        <v>45299.793085138888</v>
      </c>
      <c r="E88" t="s">
        <v>11</v>
      </c>
      <c r="F88" t="s">
        <v>4</v>
      </c>
      <c r="G88" t="s">
        <v>14</v>
      </c>
      <c r="H88">
        <v>4</v>
      </c>
      <c r="I88">
        <v>8</v>
      </c>
      <c r="J88" t="s">
        <v>52</v>
      </c>
      <c r="K88" t="s">
        <v>40</v>
      </c>
      <c r="L88" t="s">
        <v>104</v>
      </c>
      <c r="M88" t="s">
        <v>176</v>
      </c>
      <c r="N88" t="b">
        <v>0</v>
      </c>
      <c r="O88" t="b">
        <v>0</v>
      </c>
    </row>
    <row r="89" spans="1:15">
      <c r="A89">
        <v>88</v>
      </c>
      <c r="B89" s="1">
        <v>45298.022407407407</v>
      </c>
      <c r="C89" s="2">
        <v>45298.171329826386</v>
      </c>
      <c r="D89" s="2">
        <v>45298.940158043981</v>
      </c>
      <c r="E89" t="s">
        <v>10</v>
      </c>
      <c r="F89" t="s">
        <v>4</v>
      </c>
      <c r="G89" t="s">
        <v>17</v>
      </c>
      <c r="H89">
        <v>1</v>
      </c>
      <c r="I89">
        <v>1</v>
      </c>
      <c r="J89" t="s">
        <v>39</v>
      </c>
      <c r="K89" t="s">
        <v>71</v>
      </c>
      <c r="L89" t="s">
        <v>62</v>
      </c>
      <c r="M89" t="s">
        <v>177</v>
      </c>
      <c r="N89" t="b">
        <v>1</v>
      </c>
      <c r="O89" t="b">
        <v>0</v>
      </c>
    </row>
    <row r="90" spans="1:15">
      <c r="A90">
        <v>89</v>
      </c>
      <c r="B90" s="1">
        <v>45298.050694444442</v>
      </c>
      <c r="C90" s="2">
        <v>45298.341502037038</v>
      </c>
      <c r="D90" s="2">
        <v>45298.880628472223</v>
      </c>
      <c r="E90" t="s">
        <v>10</v>
      </c>
      <c r="F90" t="s">
        <v>4</v>
      </c>
      <c r="G90" t="s">
        <v>14</v>
      </c>
      <c r="H90">
        <v>8</v>
      </c>
      <c r="I90">
        <v>2</v>
      </c>
      <c r="J90" t="s">
        <v>68</v>
      </c>
      <c r="K90" t="s">
        <v>36</v>
      </c>
      <c r="L90" t="s">
        <v>164</v>
      </c>
      <c r="M90" t="s">
        <v>178</v>
      </c>
      <c r="N90" t="b">
        <v>0</v>
      </c>
      <c r="O90" t="b">
        <v>0</v>
      </c>
    </row>
    <row r="91" spans="1:15">
      <c r="A91">
        <v>90</v>
      </c>
      <c r="B91" s="1">
        <v>45298.092048611114</v>
      </c>
      <c r="C91" s="2">
        <v>45298.306299664349</v>
      </c>
      <c r="D91" s="2">
        <v>45298.37761181713</v>
      </c>
      <c r="E91" t="s">
        <v>10</v>
      </c>
      <c r="F91" t="s">
        <v>4</v>
      </c>
      <c r="G91" t="s">
        <v>15</v>
      </c>
      <c r="H91">
        <v>8</v>
      </c>
      <c r="I91">
        <v>10</v>
      </c>
      <c r="J91" t="s">
        <v>49</v>
      </c>
      <c r="K91" t="s">
        <v>36</v>
      </c>
      <c r="L91" t="s">
        <v>179</v>
      </c>
      <c r="M91" t="s">
        <v>180</v>
      </c>
      <c r="N91" t="b">
        <v>0</v>
      </c>
      <c r="O91" t="b">
        <v>0</v>
      </c>
    </row>
    <row r="92" spans="1:15">
      <c r="A92">
        <v>91</v>
      </c>
      <c r="B92" s="1">
        <v>45298.140601851854</v>
      </c>
      <c r="C92" s="2">
        <v>45298.38045773148</v>
      </c>
      <c r="E92" t="s">
        <v>10</v>
      </c>
      <c r="F92" t="s">
        <v>3</v>
      </c>
      <c r="G92" t="s">
        <v>17</v>
      </c>
      <c r="H92">
        <v>6</v>
      </c>
      <c r="I92">
        <v>5</v>
      </c>
      <c r="J92" t="s">
        <v>35</v>
      </c>
      <c r="K92" t="s">
        <v>73</v>
      </c>
      <c r="L92" t="s">
        <v>110</v>
      </c>
      <c r="M92" t="s">
        <v>181</v>
      </c>
      <c r="N92" t="b">
        <v>0</v>
      </c>
      <c r="O92" t="b">
        <v>0</v>
      </c>
    </row>
    <row r="93" spans="1:15">
      <c r="A93">
        <v>92</v>
      </c>
      <c r="B93" s="1">
        <v>45298.230069444442</v>
      </c>
      <c r="C93" s="2">
        <v>45298.392683437502</v>
      </c>
      <c r="D93" s="2">
        <v>45299.040442534722</v>
      </c>
      <c r="E93" t="s">
        <v>10</v>
      </c>
      <c r="F93" t="s">
        <v>2</v>
      </c>
      <c r="G93" t="s">
        <v>15</v>
      </c>
      <c r="H93">
        <v>1</v>
      </c>
      <c r="I93">
        <v>2</v>
      </c>
      <c r="J93" t="s">
        <v>31</v>
      </c>
      <c r="K93" t="s">
        <v>71</v>
      </c>
      <c r="L93" t="s">
        <v>60</v>
      </c>
      <c r="M93" t="s">
        <v>182</v>
      </c>
      <c r="N93" t="b">
        <v>0</v>
      </c>
      <c r="O93" t="b">
        <v>0</v>
      </c>
    </row>
    <row r="94" spans="1:15">
      <c r="A94">
        <v>93</v>
      </c>
      <c r="B94" s="1">
        <v>45298.412361111114</v>
      </c>
      <c r="C94" s="2">
        <v>45298.925073124999</v>
      </c>
      <c r="D94" s="2">
        <v>45299.973039398152</v>
      </c>
      <c r="E94" t="s">
        <v>11</v>
      </c>
      <c r="F94" t="s">
        <v>4</v>
      </c>
      <c r="G94" t="s">
        <v>14</v>
      </c>
      <c r="H94">
        <v>4</v>
      </c>
      <c r="I94">
        <v>9</v>
      </c>
      <c r="J94" t="s">
        <v>39</v>
      </c>
      <c r="K94" t="s">
        <v>40</v>
      </c>
      <c r="L94" t="s">
        <v>69</v>
      </c>
      <c r="M94" t="s">
        <v>183</v>
      </c>
      <c r="N94" t="b">
        <v>0</v>
      </c>
      <c r="O94" t="b">
        <v>0</v>
      </c>
    </row>
    <row r="95" spans="1:15">
      <c r="A95">
        <v>94</v>
      </c>
      <c r="B95" s="1">
        <v>45298.729189814818</v>
      </c>
      <c r="C95" s="2">
        <v>45298.958379791664</v>
      </c>
      <c r="D95" s="2">
        <v>45299.616922581015</v>
      </c>
      <c r="E95" t="s">
        <v>10</v>
      </c>
      <c r="F95" t="s">
        <v>2</v>
      </c>
      <c r="G95" t="s">
        <v>17</v>
      </c>
      <c r="H95">
        <v>3</v>
      </c>
      <c r="I95">
        <v>10</v>
      </c>
      <c r="J95" t="s">
        <v>39</v>
      </c>
      <c r="K95" t="s">
        <v>46</v>
      </c>
      <c r="L95" t="s">
        <v>131</v>
      </c>
      <c r="M95" t="s">
        <v>184</v>
      </c>
      <c r="N95" t="b">
        <v>0</v>
      </c>
      <c r="O95" t="b">
        <v>0</v>
      </c>
    </row>
    <row r="96" spans="1:15">
      <c r="A96">
        <v>95</v>
      </c>
      <c r="B96" s="1">
        <v>45298.748703703706</v>
      </c>
      <c r="C96" s="2">
        <v>45299.222116689816</v>
      </c>
      <c r="D96" s="2">
        <v>45299.819377662039</v>
      </c>
      <c r="E96" t="s">
        <v>11</v>
      </c>
      <c r="F96" t="s">
        <v>4</v>
      </c>
      <c r="G96" t="s">
        <v>15</v>
      </c>
      <c r="H96">
        <v>2</v>
      </c>
      <c r="I96">
        <v>6</v>
      </c>
      <c r="J96" t="s">
        <v>39</v>
      </c>
      <c r="K96" t="s">
        <v>57</v>
      </c>
      <c r="L96" t="s">
        <v>87</v>
      </c>
      <c r="M96" t="s">
        <v>185</v>
      </c>
      <c r="N96" t="b">
        <v>0</v>
      </c>
      <c r="O96" t="b">
        <v>0</v>
      </c>
    </row>
    <row r="97" spans="1:15">
      <c r="A97">
        <v>96</v>
      </c>
      <c r="B97" s="1">
        <v>45298.759918981479</v>
      </c>
      <c r="C97" s="2">
        <v>45299.007762048612</v>
      </c>
      <c r="D97" s="2">
        <v>45300.735559918983</v>
      </c>
      <c r="E97" t="s">
        <v>11</v>
      </c>
      <c r="F97" t="s">
        <v>4</v>
      </c>
      <c r="G97" t="s">
        <v>17</v>
      </c>
      <c r="H97">
        <v>8</v>
      </c>
      <c r="I97">
        <v>2</v>
      </c>
      <c r="J97" t="s">
        <v>35</v>
      </c>
      <c r="K97" t="s">
        <v>36</v>
      </c>
      <c r="L97" t="s">
        <v>138</v>
      </c>
      <c r="M97" t="s">
        <v>186</v>
      </c>
      <c r="N97" t="b">
        <v>0</v>
      </c>
      <c r="O97" t="b">
        <v>0</v>
      </c>
    </row>
    <row r="98" spans="1:15">
      <c r="A98">
        <v>97</v>
      </c>
      <c r="B98" s="1">
        <v>45298.807511574072</v>
      </c>
      <c r="C98" s="2">
        <v>45299.010497777781</v>
      </c>
      <c r="D98" s="2">
        <v>45299.49173833333</v>
      </c>
      <c r="E98" t="s">
        <v>10</v>
      </c>
      <c r="F98" t="s">
        <v>4</v>
      </c>
      <c r="G98" t="s">
        <v>14</v>
      </c>
      <c r="H98">
        <v>4</v>
      </c>
      <c r="I98">
        <v>7</v>
      </c>
      <c r="J98" t="s">
        <v>68</v>
      </c>
      <c r="K98" t="s">
        <v>40</v>
      </c>
      <c r="L98" t="s">
        <v>179</v>
      </c>
      <c r="M98" t="s">
        <v>187</v>
      </c>
      <c r="N98" t="b">
        <v>0</v>
      </c>
      <c r="O98" t="b">
        <v>0</v>
      </c>
    </row>
    <row r="99" spans="1:15">
      <c r="A99">
        <v>98</v>
      </c>
      <c r="B99" s="1">
        <v>45298.866944444446</v>
      </c>
      <c r="C99" s="2">
        <v>45299.315782453705</v>
      </c>
      <c r="D99" s="2">
        <v>45300.508207604165</v>
      </c>
      <c r="E99" t="s">
        <v>11</v>
      </c>
      <c r="F99" t="s">
        <v>4</v>
      </c>
      <c r="G99" t="s">
        <v>15</v>
      </c>
      <c r="H99">
        <v>6</v>
      </c>
      <c r="I99">
        <v>9</v>
      </c>
      <c r="J99" t="s">
        <v>31</v>
      </c>
      <c r="K99" t="s">
        <v>73</v>
      </c>
      <c r="L99" t="s">
        <v>188</v>
      </c>
      <c r="M99" t="s">
        <v>189</v>
      </c>
      <c r="N99" t="b">
        <v>0</v>
      </c>
      <c r="O99" t="b">
        <v>0</v>
      </c>
    </row>
    <row r="100" spans="1:15">
      <c r="A100">
        <v>99</v>
      </c>
      <c r="B100" s="1">
        <v>45298.877199074072</v>
      </c>
      <c r="C100" s="2">
        <v>45299.026321990743</v>
      </c>
      <c r="D100" s="2">
        <v>45299.820672997688</v>
      </c>
      <c r="E100" t="s">
        <v>10</v>
      </c>
      <c r="F100" t="s">
        <v>4</v>
      </c>
      <c r="G100" t="s">
        <v>17</v>
      </c>
      <c r="H100">
        <v>6</v>
      </c>
      <c r="I100">
        <v>10</v>
      </c>
      <c r="J100" t="s">
        <v>49</v>
      </c>
      <c r="K100" t="s">
        <v>73</v>
      </c>
      <c r="L100" t="s">
        <v>81</v>
      </c>
      <c r="M100" t="s">
        <v>190</v>
      </c>
      <c r="N100" t="b">
        <v>1</v>
      </c>
      <c r="O100" t="b">
        <v>0</v>
      </c>
    </row>
    <row r="101" spans="1:15">
      <c r="A101">
        <v>100</v>
      </c>
      <c r="B101" s="1">
        <v>45298.943240740744</v>
      </c>
      <c r="C101" s="2">
        <v>45299.084643807873</v>
      </c>
      <c r="D101" s="2">
        <v>45299.707014745371</v>
      </c>
      <c r="E101" t="s">
        <v>10</v>
      </c>
      <c r="F101" t="s">
        <v>4</v>
      </c>
      <c r="G101" t="s">
        <v>14</v>
      </c>
      <c r="H101">
        <v>3</v>
      </c>
      <c r="I101">
        <v>6</v>
      </c>
      <c r="J101" t="s">
        <v>68</v>
      </c>
      <c r="K101" t="s">
        <v>46</v>
      </c>
      <c r="L101" t="s">
        <v>104</v>
      </c>
      <c r="M101" t="s">
        <v>191</v>
      </c>
      <c r="N101" t="b">
        <v>0</v>
      </c>
      <c r="O101" t="b">
        <v>0</v>
      </c>
    </row>
    <row r="102" spans="1:15">
      <c r="A102">
        <v>101</v>
      </c>
      <c r="B102" s="1">
        <v>45298.947569444441</v>
      </c>
      <c r="C102" s="2">
        <v>45299.218900879627</v>
      </c>
      <c r="D102" s="2">
        <v>45299.37465539352</v>
      </c>
      <c r="E102" t="s">
        <v>10</v>
      </c>
      <c r="F102" t="s">
        <v>4</v>
      </c>
      <c r="G102" t="s">
        <v>15</v>
      </c>
      <c r="H102">
        <v>3</v>
      </c>
      <c r="I102">
        <v>10</v>
      </c>
      <c r="J102" t="s">
        <v>39</v>
      </c>
      <c r="K102" t="s">
        <v>46</v>
      </c>
      <c r="L102" t="s">
        <v>192</v>
      </c>
      <c r="M102" t="s">
        <v>193</v>
      </c>
      <c r="N102" t="b">
        <v>0</v>
      </c>
      <c r="O102" t="b">
        <v>0</v>
      </c>
    </row>
    <row r="103" spans="1:15">
      <c r="A103">
        <v>102</v>
      </c>
      <c r="B103" s="1">
        <v>45298.989490740743</v>
      </c>
      <c r="C103" s="2">
        <v>45299.368335474537</v>
      </c>
      <c r="D103" s="2">
        <v>45301.007609247688</v>
      </c>
      <c r="E103" t="s">
        <v>11</v>
      </c>
      <c r="F103" t="s">
        <v>4</v>
      </c>
      <c r="G103" t="s">
        <v>17</v>
      </c>
      <c r="H103">
        <v>8</v>
      </c>
      <c r="I103">
        <v>9</v>
      </c>
      <c r="J103" t="s">
        <v>39</v>
      </c>
      <c r="K103" t="s">
        <v>36</v>
      </c>
      <c r="L103" t="s">
        <v>171</v>
      </c>
      <c r="M103" t="s">
        <v>194</v>
      </c>
      <c r="N103" t="b">
        <v>0</v>
      </c>
      <c r="O103" t="b">
        <v>0</v>
      </c>
    </row>
    <row r="104" spans="1:15">
      <c r="A104">
        <v>103</v>
      </c>
      <c r="B104" s="1">
        <v>45299.0468287037</v>
      </c>
      <c r="C104" s="2">
        <v>45299.078232916669</v>
      </c>
      <c r="D104" s="2">
        <v>45299.196841458332</v>
      </c>
      <c r="E104" t="s">
        <v>8</v>
      </c>
      <c r="F104" t="s">
        <v>4</v>
      </c>
      <c r="G104" t="s">
        <v>16</v>
      </c>
      <c r="H104">
        <v>7</v>
      </c>
      <c r="I104">
        <v>2</v>
      </c>
      <c r="J104" t="s">
        <v>35</v>
      </c>
      <c r="K104" t="s">
        <v>43</v>
      </c>
      <c r="L104" t="s">
        <v>53</v>
      </c>
      <c r="M104" t="s">
        <v>195</v>
      </c>
      <c r="N104" t="b">
        <v>1</v>
      </c>
      <c r="O104" t="b">
        <v>0</v>
      </c>
    </row>
    <row r="105" spans="1:15">
      <c r="A105">
        <v>104</v>
      </c>
      <c r="B105" s="1">
        <v>45299.134143518517</v>
      </c>
      <c r="C105" s="2">
        <v>45299.404682708337</v>
      </c>
      <c r="D105" s="2">
        <v>45300.050718981482</v>
      </c>
      <c r="E105" t="s">
        <v>10</v>
      </c>
      <c r="F105" t="s">
        <v>4</v>
      </c>
      <c r="G105" t="s">
        <v>15</v>
      </c>
      <c r="H105">
        <v>5</v>
      </c>
      <c r="I105">
        <v>7</v>
      </c>
      <c r="J105" t="s">
        <v>35</v>
      </c>
      <c r="K105" t="s">
        <v>32</v>
      </c>
      <c r="L105" t="s">
        <v>124</v>
      </c>
      <c r="M105" t="s">
        <v>196</v>
      </c>
      <c r="N105" t="b">
        <v>1</v>
      </c>
      <c r="O105" t="b">
        <v>0</v>
      </c>
    </row>
    <row r="106" spans="1:15">
      <c r="A106">
        <v>105</v>
      </c>
      <c r="B106" s="1">
        <v>45299.161550925928</v>
      </c>
      <c r="C106" s="2">
        <v>45299.490463414353</v>
      </c>
      <c r="D106" s="2">
        <v>45299.875106053238</v>
      </c>
      <c r="E106" t="s">
        <v>10</v>
      </c>
      <c r="F106" t="s">
        <v>4</v>
      </c>
      <c r="G106" t="s">
        <v>15</v>
      </c>
      <c r="H106">
        <v>5</v>
      </c>
      <c r="I106">
        <v>7</v>
      </c>
      <c r="J106" t="s">
        <v>31</v>
      </c>
      <c r="K106" t="s">
        <v>32</v>
      </c>
      <c r="L106" t="s">
        <v>192</v>
      </c>
      <c r="M106" t="s">
        <v>197</v>
      </c>
      <c r="N106" t="b">
        <v>0</v>
      </c>
      <c r="O106" t="b">
        <v>0</v>
      </c>
    </row>
    <row r="107" spans="1:15">
      <c r="A107">
        <v>106</v>
      </c>
      <c r="B107" s="1">
        <v>45299.181006944447</v>
      </c>
      <c r="C107" s="2">
        <v>45299.276569675923</v>
      </c>
      <c r="D107" s="2">
        <v>45299.665311446763</v>
      </c>
      <c r="E107" t="s">
        <v>10</v>
      </c>
      <c r="F107" t="s">
        <v>4</v>
      </c>
      <c r="G107" t="s">
        <v>17</v>
      </c>
      <c r="H107">
        <v>1</v>
      </c>
      <c r="I107">
        <v>8</v>
      </c>
      <c r="J107" t="s">
        <v>68</v>
      </c>
      <c r="K107" t="s">
        <v>71</v>
      </c>
      <c r="L107" t="s">
        <v>98</v>
      </c>
      <c r="M107" t="s">
        <v>198</v>
      </c>
      <c r="N107" t="b">
        <v>0</v>
      </c>
      <c r="O107" t="b">
        <v>0</v>
      </c>
    </row>
    <row r="108" spans="1:15">
      <c r="A108">
        <v>107</v>
      </c>
      <c r="B108" s="1">
        <v>45299.202916666669</v>
      </c>
      <c r="C108" s="2">
        <v>45299.354958761571</v>
      </c>
      <c r="D108" s="2">
        <v>45299.793664537036</v>
      </c>
      <c r="E108" t="s">
        <v>10</v>
      </c>
      <c r="F108" t="s">
        <v>4</v>
      </c>
      <c r="G108" t="s">
        <v>17</v>
      </c>
      <c r="H108">
        <v>2</v>
      </c>
      <c r="I108">
        <v>6</v>
      </c>
      <c r="J108" t="s">
        <v>68</v>
      </c>
      <c r="K108" t="s">
        <v>57</v>
      </c>
      <c r="L108" t="s">
        <v>93</v>
      </c>
      <c r="M108" t="s">
        <v>199</v>
      </c>
      <c r="N108" t="b">
        <v>0</v>
      </c>
      <c r="O108" t="b">
        <v>0</v>
      </c>
    </row>
    <row r="109" spans="1:15">
      <c r="A109">
        <v>108</v>
      </c>
      <c r="B109" s="1">
        <v>45299.210636574076</v>
      </c>
      <c r="C109" s="2">
        <v>45299.253068391205</v>
      </c>
      <c r="D109" s="2">
        <v>45299.764180138889</v>
      </c>
      <c r="E109" t="s">
        <v>10</v>
      </c>
      <c r="F109" t="s">
        <v>4</v>
      </c>
      <c r="G109" t="s">
        <v>14</v>
      </c>
      <c r="H109">
        <v>1</v>
      </c>
      <c r="I109">
        <v>8</v>
      </c>
      <c r="J109" t="s">
        <v>49</v>
      </c>
      <c r="K109" t="s">
        <v>71</v>
      </c>
      <c r="L109" t="s">
        <v>200</v>
      </c>
      <c r="M109" t="s">
        <v>201</v>
      </c>
      <c r="N109" t="b">
        <v>0</v>
      </c>
      <c r="O109" t="b">
        <v>0</v>
      </c>
    </row>
    <row r="110" spans="1:15">
      <c r="A110">
        <v>109</v>
      </c>
      <c r="B110" s="1">
        <v>45299.283888888887</v>
      </c>
      <c r="C110" s="2">
        <v>45299.674734548615</v>
      </c>
      <c r="D110" s="2">
        <v>45300.518815833333</v>
      </c>
      <c r="E110" t="s">
        <v>11</v>
      </c>
      <c r="F110" t="s">
        <v>4</v>
      </c>
      <c r="G110" t="s">
        <v>17</v>
      </c>
      <c r="H110">
        <v>7</v>
      </c>
      <c r="I110">
        <v>6</v>
      </c>
      <c r="J110" t="s">
        <v>39</v>
      </c>
      <c r="K110" t="s">
        <v>43</v>
      </c>
      <c r="L110" t="s">
        <v>96</v>
      </c>
      <c r="M110" t="s">
        <v>202</v>
      </c>
      <c r="N110" t="b">
        <v>0</v>
      </c>
      <c r="O110" t="b">
        <v>0</v>
      </c>
    </row>
    <row r="111" spans="1:15">
      <c r="A111">
        <v>110</v>
      </c>
      <c r="B111" s="1">
        <v>45299.313379629632</v>
      </c>
      <c r="C111" s="2">
        <v>45299.437539583334</v>
      </c>
      <c r="E111" t="s">
        <v>10</v>
      </c>
      <c r="F111" t="s">
        <v>80</v>
      </c>
      <c r="G111" t="s">
        <v>17</v>
      </c>
      <c r="H111">
        <v>8</v>
      </c>
      <c r="I111">
        <v>3</v>
      </c>
      <c r="J111" t="s">
        <v>68</v>
      </c>
      <c r="K111" t="s">
        <v>36</v>
      </c>
      <c r="L111" t="s">
        <v>174</v>
      </c>
      <c r="M111" t="s">
        <v>203</v>
      </c>
      <c r="N111" t="b">
        <v>0</v>
      </c>
      <c r="O111" t="b">
        <v>0</v>
      </c>
    </row>
    <row r="112" spans="1:15">
      <c r="A112">
        <v>111</v>
      </c>
      <c r="B112" s="1">
        <v>45299.319976851853</v>
      </c>
      <c r="C112" s="2">
        <v>45299.602450520833</v>
      </c>
      <c r="D112" s="2">
        <v>45300.122768993053</v>
      </c>
      <c r="E112" t="s">
        <v>10</v>
      </c>
      <c r="F112" t="s">
        <v>4</v>
      </c>
      <c r="G112" t="s">
        <v>17</v>
      </c>
      <c r="H112">
        <v>2</v>
      </c>
      <c r="I112">
        <v>5</v>
      </c>
      <c r="J112" t="s">
        <v>49</v>
      </c>
      <c r="K112" t="s">
        <v>57</v>
      </c>
      <c r="L112" t="s">
        <v>47</v>
      </c>
      <c r="M112" t="s">
        <v>204</v>
      </c>
      <c r="N112" t="b">
        <v>0</v>
      </c>
      <c r="O112" t="b">
        <v>0</v>
      </c>
    </row>
    <row r="113" spans="1:15">
      <c r="A113">
        <v>112</v>
      </c>
      <c r="B113" s="1">
        <v>45299.334050925929</v>
      </c>
      <c r="C113" s="2">
        <v>45299.780647858795</v>
      </c>
      <c r="D113" s="2">
        <v>45301.141817870368</v>
      </c>
      <c r="E113" t="s">
        <v>11</v>
      </c>
      <c r="F113" t="s">
        <v>4</v>
      </c>
      <c r="G113" t="s">
        <v>15</v>
      </c>
      <c r="H113">
        <v>3</v>
      </c>
      <c r="I113">
        <v>10</v>
      </c>
      <c r="J113" t="s">
        <v>52</v>
      </c>
      <c r="K113" t="s">
        <v>46</v>
      </c>
      <c r="L113" t="s">
        <v>127</v>
      </c>
      <c r="M113" t="s">
        <v>205</v>
      </c>
      <c r="N113" t="b">
        <v>0</v>
      </c>
      <c r="O113" t="b">
        <v>0</v>
      </c>
    </row>
    <row r="114" spans="1:15">
      <c r="A114">
        <v>113</v>
      </c>
      <c r="B114" s="1">
        <v>45299.372442129628</v>
      </c>
      <c r="C114" s="2">
        <v>45300.004071087962</v>
      </c>
      <c r="D114" s="2">
        <v>45300.879039918982</v>
      </c>
      <c r="E114" t="s">
        <v>11</v>
      </c>
      <c r="F114" t="s">
        <v>2</v>
      </c>
      <c r="G114" t="s">
        <v>17</v>
      </c>
      <c r="H114">
        <v>3</v>
      </c>
      <c r="I114">
        <v>9</v>
      </c>
      <c r="J114" t="s">
        <v>35</v>
      </c>
      <c r="K114" t="s">
        <v>46</v>
      </c>
      <c r="L114" t="s">
        <v>102</v>
      </c>
      <c r="M114" t="s">
        <v>206</v>
      </c>
      <c r="N114" t="b">
        <v>0</v>
      </c>
      <c r="O114" t="b">
        <v>0</v>
      </c>
    </row>
    <row r="115" spans="1:15">
      <c r="A115">
        <v>114</v>
      </c>
      <c r="B115" s="1">
        <v>45299.435868055552</v>
      </c>
      <c r="C115" s="2">
        <v>45299.514000393516</v>
      </c>
      <c r="D115" s="2">
        <v>45299.696949317127</v>
      </c>
      <c r="E115" t="s">
        <v>9</v>
      </c>
      <c r="F115" t="s">
        <v>4</v>
      </c>
      <c r="G115" t="s">
        <v>15</v>
      </c>
      <c r="H115">
        <v>7</v>
      </c>
      <c r="I115">
        <v>7</v>
      </c>
      <c r="J115" t="s">
        <v>35</v>
      </c>
      <c r="K115" t="s">
        <v>43</v>
      </c>
      <c r="L115" t="s">
        <v>41</v>
      </c>
      <c r="M115" t="s">
        <v>207</v>
      </c>
      <c r="N115" t="b">
        <v>0</v>
      </c>
      <c r="O115" t="b">
        <v>0</v>
      </c>
    </row>
    <row r="116" spans="1:15">
      <c r="A116">
        <v>115</v>
      </c>
      <c r="B116" s="1">
        <v>45299.461018518516</v>
      </c>
      <c r="C116" s="2">
        <v>45299.565389351854</v>
      </c>
      <c r="D116" s="2">
        <v>45299.994479004628</v>
      </c>
      <c r="E116" t="s">
        <v>10</v>
      </c>
      <c r="F116" t="s">
        <v>4</v>
      </c>
      <c r="G116" t="s">
        <v>16</v>
      </c>
      <c r="H116">
        <v>4</v>
      </c>
      <c r="I116">
        <v>4</v>
      </c>
      <c r="J116" t="s">
        <v>35</v>
      </c>
      <c r="K116" t="s">
        <v>40</v>
      </c>
      <c r="L116" t="s">
        <v>96</v>
      </c>
      <c r="M116" t="s">
        <v>208</v>
      </c>
      <c r="N116" t="b">
        <v>0</v>
      </c>
      <c r="O116" t="b">
        <v>0</v>
      </c>
    </row>
    <row r="117" spans="1:15">
      <c r="A117">
        <v>116</v>
      </c>
      <c r="B117" s="1">
        <v>45299.641342592593</v>
      </c>
      <c r="C117" s="2">
        <v>45299.762473668983</v>
      </c>
      <c r="D117" s="2">
        <v>45299.904607048615</v>
      </c>
      <c r="E117" t="s">
        <v>9</v>
      </c>
      <c r="F117" t="s">
        <v>4</v>
      </c>
      <c r="G117" t="s">
        <v>15</v>
      </c>
      <c r="H117">
        <v>1</v>
      </c>
      <c r="I117">
        <v>3</v>
      </c>
      <c r="J117" t="s">
        <v>31</v>
      </c>
      <c r="K117" t="s">
        <v>71</v>
      </c>
      <c r="L117" t="s">
        <v>200</v>
      </c>
      <c r="M117" t="s">
        <v>209</v>
      </c>
      <c r="N117" t="b">
        <v>0</v>
      </c>
      <c r="O117" t="b">
        <v>0</v>
      </c>
    </row>
    <row r="118" spans="1:15">
      <c r="A118">
        <v>117</v>
      </c>
      <c r="B118" s="1">
        <v>45299.653229166666</v>
      </c>
      <c r="C118" s="2">
        <v>45299.954152997685</v>
      </c>
      <c r="D118" s="2">
        <v>45301.001745023146</v>
      </c>
      <c r="E118" t="s">
        <v>11</v>
      </c>
      <c r="F118" t="s">
        <v>4</v>
      </c>
      <c r="G118" t="s">
        <v>15</v>
      </c>
      <c r="H118">
        <v>5</v>
      </c>
      <c r="I118">
        <v>3</v>
      </c>
      <c r="J118" t="s">
        <v>49</v>
      </c>
      <c r="K118" t="s">
        <v>32</v>
      </c>
      <c r="L118" t="s">
        <v>110</v>
      </c>
      <c r="M118" t="s">
        <v>210</v>
      </c>
      <c r="N118" t="b">
        <v>0</v>
      </c>
      <c r="O118" t="b">
        <v>0</v>
      </c>
    </row>
    <row r="119" spans="1:15">
      <c r="A119">
        <v>118</v>
      </c>
      <c r="B119" s="1">
        <v>45299.67224537037</v>
      </c>
      <c r="C119" s="2">
        <v>45299.820442025462</v>
      </c>
      <c r="E119" t="s">
        <v>10</v>
      </c>
      <c r="F119" t="s">
        <v>80</v>
      </c>
      <c r="G119" t="s">
        <v>14</v>
      </c>
      <c r="H119">
        <v>2</v>
      </c>
      <c r="I119">
        <v>4</v>
      </c>
      <c r="J119" t="s">
        <v>35</v>
      </c>
      <c r="K119" t="s">
        <v>57</v>
      </c>
      <c r="L119" t="s">
        <v>53</v>
      </c>
      <c r="M119" t="s">
        <v>211</v>
      </c>
      <c r="N119" t="b">
        <v>0</v>
      </c>
      <c r="O119" t="b">
        <v>0</v>
      </c>
    </row>
    <row r="120" spans="1:15">
      <c r="A120">
        <v>119</v>
      </c>
      <c r="B120" s="1">
        <v>45299.743854166663</v>
      </c>
      <c r="C120" s="2">
        <v>45299.79043976852</v>
      </c>
      <c r="D120" s="2">
        <v>45300.20666152778</v>
      </c>
      <c r="E120" t="s">
        <v>10</v>
      </c>
      <c r="F120" t="s">
        <v>4</v>
      </c>
      <c r="G120" t="s">
        <v>15</v>
      </c>
      <c r="H120">
        <v>6</v>
      </c>
      <c r="I120">
        <v>10</v>
      </c>
      <c r="J120" t="s">
        <v>49</v>
      </c>
      <c r="K120" t="s">
        <v>73</v>
      </c>
      <c r="L120" t="s">
        <v>69</v>
      </c>
      <c r="M120" t="s">
        <v>212</v>
      </c>
      <c r="N120" t="b">
        <v>0</v>
      </c>
      <c r="O120" t="b">
        <v>0</v>
      </c>
    </row>
    <row r="121" spans="1:15">
      <c r="A121">
        <v>120</v>
      </c>
      <c r="B121" s="1">
        <v>45299.773402777777</v>
      </c>
      <c r="C121" s="2">
        <v>45299.830179571756</v>
      </c>
      <c r="D121" s="2">
        <v>45300.156575347224</v>
      </c>
      <c r="E121" t="s">
        <v>10</v>
      </c>
      <c r="F121" t="s">
        <v>4</v>
      </c>
      <c r="G121" t="s">
        <v>17</v>
      </c>
      <c r="H121">
        <v>7</v>
      </c>
      <c r="I121">
        <v>6</v>
      </c>
      <c r="J121" t="s">
        <v>49</v>
      </c>
      <c r="K121" t="s">
        <v>43</v>
      </c>
      <c r="L121" t="s">
        <v>213</v>
      </c>
      <c r="M121" t="s">
        <v>214</v>
      </c>
      <c r="N121" t="b">
        <v>0</v>
      </c>
      <c r="O121" t="b">
        <v>0</v>
      </c>
    </row>
    <row r="122" spans="1:15">
      <c r="A122">
        <v>121</v>
      </c>
      <c r="B122" s="1">
        <v>45299.83252314815</v>
      </c>
      <c r="C122" s="2">
        <v>45299.972678101854</v>
      </c>
      <c r="E122" t="s">
        <v>10</v>
      </c>
      <c r="F122" t="s">
        <v>3</v>
      </c>
      <c r="G122" t="s">
        <v>16</v>
      </c>
      <c r="H122">
        <v>1</v>
      </c>
      <c r="I122">
        <v>4</v>
      </c>
      <c r="J122" t="s">
        <v>52</v>
      </c>
      <c r="K122" t="s">
        <v>71</v>
      </c>
      <c r="L122" t="s">
        <v>66</v>
      </c>
      <c r="M122" t="s">
        <v>215</v>
      </c>
      <c r="N122" t="b">
        <v>0</v>
      </c>
      <c r="O122" t="b">
        <v>0</v>
      </c>
    </row>
    <row r="123" spans="1:15">
      <c r="A123">
        <v>122</v>
      </c>
      <c r="B123" s="1">
        <v>45300.029120370367</v>
      </c>
      <c r="C123" s="2">
        <v>45300.146987523149</v>
      </c>
      <c r="D123" s="2">
        <v>45300.206676122689</v>
      </c>
      <c r="E123" t="s">
        <v>9</v>
      </c>
      <c r="F123" t="s">
        <v>2</v>
      </c>
      <c r="G123" t="s">
        <v>14</v>
      </c>
      <c r="H123">
        <v>8</v>
      </c>
      <c r="I123">
        <v>9</v>
      </c>
      <c r="J123" t="s">
        <v>52</v>
      </c>
      <c r="K123" t="s">
        <v>36</v>
      </c>
      <c r="L123" t="s">
        <v>69</v>
      </c>
      <c r="M123" t="s">
        <v>216</v>
      </c>
      <c r="N123" t="b">
        <v>0</v>
      </c>
      <c r="O123" t="b">
        <v>0</v>
      </c>
    </row>
    <row r="124" spans="1:15">
      <c r="A124">
        <v>123</v>
      </c>
      <c r="B124" s="1">
        <v>45300.04755787037</v>
      </c>
      <c r="C124" s="2">
        <v>45300.633585798612</v>
      </c>
      <c r="D124" s="2">
        <v>45302.100749317127</v>
      </c>
      <c r="E124" t="s">
        <v>11</v>
      </c>
      <c r="F124" t="s">
        <v>4</v>
      </c>
      <c r="G124" t="s">
        <v>15</v>
      </c>
      <c r="H124">
        <v>6</v>
      </c>
      <c r="I124">
        <v>4</v>
      </c>
      <c r="J124" t="s">
        <v>39</v>
      </c>
      <c r="K124" t="s">
        <v>73</v>
      </c>
      <c r="L124" t="s">
        <v>62</v>
      </c>
      <c r="M124" t="s">
        <v>217</v>
      </c>
      <c r="N124" t="b">
        <v>0</v>
      </c>
      <c r="O124" t="b">
        <v>0</v>
      </c>
    </row>
    <row r="125" spans="1:15">
      <c r="A125">
        <v>124</v>
      </c>
      <c r="B125" s="1">
        <v>45300.104548611111</v>
      </c>
      <c r="C125" s="2">
        <v>45300.203257835645</v>
      </c>
      <c r="D125" s="2">
        <v>45301.056035000001</v>
      </c>
      <c r="E125" t="s">
        <v>10</v>
      </c>
      <c r="F125" t="s">
        <v>4</v>
      </c>
      <c r="G125" t="s">
        <v>15</v>
      </c>
      <c r="H125">
        <v>1</v>
      </c>
      <c r="I125">
        <v>8</v>
      </c>
      <c r="J125" t="s">
        <v>35</v>
      </c>
      <c r="K125" t="s">
        <v>71</v>
      </c>
      <c r="L125" t="s">
        <v>44</v>
      </c>
      <c r="M125" t="s">
        <v>218</v>
      </c>
      <c r="N125" t="b">
        <v>1</v>
      </c>
      <c r="O125" t="b">
        <v>0</v>
      </c>
    </row>
    <row r="126" spans="1:15">
      <c r="A126">
        <v>125</v>
      </c>
      <c r="B126" s="1">
        <v>45300.210405092592</v>
      </c>
      <c r="C126" s="2">
        <v>45300.534212384257</v>
      </c>
      <c r="D126" s="2">
        <v>45300.701026157411</v>
      </c>
      <c r="E126" t="s">
        <v>10</v>
      </c>
      <c r="F126" t="s">
        <v>4</v>
      </c>
      <c r="G126" t="s">
        <v>17</v>
      </c>
      <c r="H126">
        <v>2</v>
      </c>
      <c r="I126">
        <v>7</v>
      </c>
      <c r="J126" t="s">
        <v>39</v>
      </c>
      <c r="K126" t="s">
        <v>57</v>
      </c>
      <c r="L126" t="s">
        <v>171</v>
      </c>
      <c r="M126" t="s">
        <v>219</v>
      </c>
      <c r="N126" t="b">
        <v>0</v>
      </c>
      <c r="O126" t="b">
        <v>0</v>
      </c>
    </row>
    <row r="127" spans="1:15">
      <c r="A127">
        <v>126</v>
      </c>
      <c r="B127" s="1">
        <v>45300.45107638889</v>
      </c>
      <c r="C127" s="2">
        <v>45301.176869756942</v>
      </c>
      <c r="D127" s="2">
        <v>45303.241090173608</v>
      </c>
      <c r="E127" t="s">
        <v>11</v>
      </c>
      <c r="F127" t="s">
        <v>4</v>
      </c>
      <c r="G127" t="s">
        <v>17</v>
      </c>
      <c r="H127">
        <v>2</v>
      </c>
      <c r="I127">
        <v>4</v>
      </c>
      <c r="J127" t="s">
        <v>39</v>
      </c>
      <c r="K127" t="s">
        <v>57</v>
      </c>
      <c r="L127" t="s">
        <v>50</v>
      </c>
      <c r="M127" t="s">
        <v>220</v>
      </c>
      <c r="N127" t="b">
        <v>1</v>
      </c>
      <c r="O127" t="b">
        <v>0</v>
      </c>
    </row>
    <row r="128" spans="1:15">
      <c r="A128">
        <v>127</v>
      </c>
      <c r="B128" s="1">
        <v>45300.464942129627</v>
      </c>
      <c r="C128" s="2">
        <v>45300.761130682869</v>
      </c>
      <c r="D128" s="2">
        <v>45301.249446562499</v>
      </c>
      <c r="E128" t="s">
        <v>10</v>
      </c>
      <c r="F128" t="s">
        <v>4</v>
      </c>
      <c r="G128" t="s">
        <v>15</v>
      </c>
      <c r="H128">
        <v>8</v>
      </c>
      <c r="I128">
        <v>10</v>
      </c>
      <c r="J128" t="s">
        <v>52</v>
      </c>
      <c r="K128" t="s">
        <v>36</v>
      </c>
      <c r="L128" t="s">
        <v>221</v>
      </c>
      <c r="M128" t="s">
        <v>222</v>
      </c>
      <c r="N128" t="b">
        <v>0</v>
      </c>
      <c r="O128" t="b">
        <v>0</v>
      </c>
    </row>
    <row r="129" spans="1:15">
      <c r="A129">
        <v>128</v>
      </c>
      <c r="B129" s="1">
        <v>45300.488159722219</v>
      </c>
      <c r="C129" s="2">
        <v>45300.641646435186</v>
      </c>
      <c r="D129" s="2">
        <v>45300.834153113428</v>
      </c>
      <c r="E129" t="s">
        <v>10</v>
      </c>
      <c r="F129" t="s">
        <v>4</v>
      </c>
      <c r="G129" t="s">
        <v>15</v>
      </c>
      <c r="H129">
        <v>6</v>
      </c>
      <c r="I129">
        <v>7</v>
      </c>
      <c r="J129" t="s">
        <v>39</v>
      </c>
      <c r="K129" t="s">
        <v>73</v>
      </c>
      <c r="L129" t="s">
        <v>96</v>
      </c>
      <c r="M129" t="s">
        <v>223</v>
      </c>
      <c r="N129" t="b">
        <v>0</v>
      </c>
      <c r="O129" t="b">
        <v>0</v>
      </c>
    </row>
    <row r="130" spans="1:15">
      <c r="A130">
        <v>129</v>
      </c>
      <c r="B130" s="1">
        <v>45300.493738425925</v>
      </c>
      <c r="C130" s="2">
        <v>45300.686577835651</v>
      </c>
      <c r="D130" s="2">
        <v>45300.893589884261</v>
      </c>
      <c r="E130" t="s">
        <v>10</v>
      </c>
      <c r="F130" t="s">
        <v>4</v>
      </c>
      <c r="G130" t="s">
        <v>14</v>
      </c>
      <c r="H130">
        <v>3</v>
      </c>
      <c r="I130">
        <v>10</v>
      </c>
      <c r="J130" t="s">
        <v>35</v>
      </c>
      <c r="K130" t="s">
        <v>46</v>
      </c>
      <c r="L130" t="s">
        <v>110</v>
      </c>
      <c r="M130" t="s">
        <v>224</v>
      </c>
      <c r="N130" t="b">
        <v>0</v>
      </c>
      <c r="O130" t="b">
        <v>0</v>
      </c>
    </row>
    <row r="131" spans="1:15">
      <c r="A131">
        <v>130</v>
      </c>
      <c r="B131" s="1">
        <v>45300.560335648152</v>
      </c>
      <c r="C131" s="2">
        <v>45301.369273391203</v>
      </c>
      <c r="D131" s="2">
        <v>45302.772408553239</v>
      </c>
      <c r="E131" t="s">
        <v>11</v>
      </c>
      <c r="F131" t="s">
        <v>4</v>
      </c>
      <c r="G131" t="s">
        <v>15</v>
      </c>
      <c r="H131">
        <v>5</v>
      </c>
      <c r="I131">
        <v>1</v>
      </c>
      <c r="J131" t="s">
        <v>52</v>
      </c>
      <c r="K131" t="s">
        <v>32</v>
      </c>
      <c r="L131" t="s">
        <v>164</v>
      </c>
      <c r="M131" t="s">
        <v>225</v>
      </c>
      <c r="N131" t="b">
        <v>0</v>
      </c>
      <c r="O131" t="b">
        <v>0</v>
      </c>
    </row>
    <row r="132" spans="1:15">
      <c r="A132">
        <v>131</v>
      </c>
      <c r="B132" s="1">
        <v>45300.572002314817</v>
      </c>
      <c r="C132" s="2">
        <v>45300.647651620369</v>
      </c>
      <c r="D132" s="2">
        <v>45300.728434201388</v>
      </c>
      <c r="E132" t="s">
        <v>9</v>
      </c>
      <c r="F132" t="s">
        <v>4</v>
      </c>
      <c r="G132" t="s">
        <v>14</v>
      </c>
      <c r="H132">
        <v>3</v>
      </c>
      <c r="I132">
        <v>3</v>
      </c>
      <c r="J132" t="s">
        <v>35</v>
      </c>
      <c r="K132" t="s">
        <v>46</v>
      </c>
      <c r="L132" t="s">
        <v>58</v>
      </c>
      <c r="M132" t="s">
        <v>226</v>
      </c>
      <c r="N132" t="b">
        <v>0</v>
      </c>
      <c r="O132" t="b">
        <v>0</v>
      </c>
    </row>
    <row r="133" spans="1:15">
      <c r="A133">
        <v>132</v>
      </c>
      <c r="B133" s="1">
        <v>45300.655277777776</v>
      </c>
      <c r="C133" s="2">
        <v>45301.18992733796</v>
      </c>
      <c r="D133" s="2">
        <v>45303.006339236112</v>
      </c>
      <c r="E133" t="s">
        <v>11</v>
      </c>
      <c r="F133" t="s">
        <v>4</v>
      </c>
      <c r="G133" t="s">
        <v>15</v>
      </c>
      <c r="H133">
        <v>4</v>
      </c>
      <c r="I133">
        <v>4</v>
      </c>
      <c r="J133" t="s">
        <v>49</v>
      </c>
      <c r="K133" t="s">
        <v>40</v>
      </c>
      <c r="L133" t="s">
        <v>158</v>
      </c>
      <c r="M133" t="s">
        <v>227</v>
      </c>
      <c r="N133" t="b">
        <v>0</v>
      </c>
      <c r="O133" t="b">
        <v>0</v>
      </c>
    </row>
    <row r="134" spans="1:15">
      <c r="A134">
        <v>133</v>
      </c>
      <c r="B134" s="1">
        <v>45300.815000000002</v>
      </c>
      <c r="C134" s="2">
        <v>45301.054053611108</v>
      </c>
      <c r="D134" s="2">
        <v>45301.492872858798</v>
      </c>
      <c r="E134" t="s">
        <v>10</v>
      </c>
      <c r="F134" t="s">
        <v>4</v>
      </c>
      <c r="G134" t="s">
        <v>17</v>
      </c>
      <c r="H134">
        <v>6</v>
      </c>
      <c r="I134">
        <v>7</v>
      </c>
      <c r="J134" t="s">
        <v>35</v>
      </c>
      <c r="K134" t="s">
        <v>73</v>
      </c>
      <c r="L134" t="s">
        <v>66</v>
      </c>
      <c r="M134" t="s">
        <v>228</v>
      </c>
      <c r="N134" t="b">
        <v>0</v>
      </c>
      <c r="O134" t="b">
        <v>0</v>
      </c>
    </row>
    <row r="135" spans="1:15">
      <c r="A135">
        <v>134</v>
      </c>
      <c r="B135" s="1">
        <v>45300.817106481481</v>
      </c>
      <c r="C135" s="2">
        <v>45300.982503113424</v>
      </c>
      <c r="D135" s="2">
        <v>45301.568332743052</v>
      </c>
      <c r="E135" t="s">
        <v>10</v>
      </c>
      <c r="F135" t="s">
        <v>4</v>
      </c>
      <c r="G135" t="s">
        <v>17</v>
      </c>
      <c r="H135">
        <v>2</v>
      </c>
      <c r="I135">
        <v>9</v>
      </c>
      <c r="J135" t="s">
        <v>52</v>
      </c>
      <c r="K135" t="s">
        <v>57</v>
      </c>
      <c r="L135" t="s">
        <v>179</v>
      </c>
      <c r="M135" t="s">
        <v>229</v>
      </c>
      <c r="N135" t="b">
        <v>0</v>
      </c>
      <c r="O135" t="b">
        <v>0</v>
      </c>
    </row>
    <row r="136" spans="1:15">
      <c r="A136">
        <v>135</v>
      </c>
      <c r="B136" s="1">
        <v>45300.896805555552</v>
      </c>
      <c r="C136" s="2">
        <v>45300.982153101853</v>
      </c>
      <c r="D136" s="2">
        <v>45301.407364432867</v>
      </c>
      <c r="E136" t="s">
        <v>10</v>
      </c>
      <c r="F136" t="s">
        <v>4</v>
      </c>
      <c r="G136" t="s">
        <v>15</v>
      </c>
      <c r="H136">
        <v>7</v>
      </c>
      <c r="I136">
        <v>2</v>
      </c>
      <c r="J136" t="s">
        <v>52</v>
      </c>
      <c r="K136" t="s">
        <v>43</v>
      </c>
      <c r="L136" t="s">
        <v>153</v>
      </c>
      <c r="M136" t="s">
        <v>230</v>
      </c>
      <c r="N136" t="b">
        <v>0</v>
      </c>
      <c r="O136" t="b">
        <v>0</v>
      </c>
    </row>
    <row r="137" spans="1:15">
      <c r="A137">
        <v>136</v>
      </c>
      <c r="B137" s="1">
        <v>45301.037824074076</v>
      </c>
      <c r="C137" s="2">
        <v>45301.137941377317</v>
      </c>
      <c r="D137" s="2">
        <v>45301.326406458335</v>
      </c>
      <c r="E137" t="s">
        <v>9</v>
      </c>
      <c r="F137" t="s">
        <v>4</v>
      </c>
      <c r="G137" t="s">
        <v>17</v>
      </c>
      <c r="H137">
        <v>8</v>
      </c>
      <c r="I137">
        <v>2</v>
      </c>
      <c r="J137" t="s">
        <v>68</v>
      </c>
      <c r="K137" t="s">
        <v>36</v>
      </c>
      <c r="L137" t="s">
        <v>102</v>
      </c>
      <c r="M137" t="s">
        <v>231</v>
      </c>
      <c r="N137" t="b">
        <v>0</v>
      </c>
      <c r="O137" t="b">
        <v>0</v>
      </c>
    </row>
    <row r="138" spans="1:15">
      <c r="A138">
        <v>137</v>
      </c>
      <c r="B138" s="1">
        <v>45301.120057870372</v>
      </c>
      <c r="C138" s="2">
        <v>45301.309831817132</v>
      </c>
      <c r="D138" s="2">
        <v>45302.032036481483</v>
      </c>
      <c r="E138" t="s">
        <v>10</v>
      </c>
      <c r="F138" t="s">
        <v>4</v>
      </c>
      <c r="G138" t="s">
        <v>15</v>
      </c>
      <c r="H138">
        <v>8</v>
      </c>
      <c r="I138">
        <v>7</v>
      </c>
      <c r="J138" t="s">
        <v>52</v>
      </c>
      <c r="K138" t="s">
        <v>36</v>
      </c>
      <c r="L138" t="s">
        <v>174</v>
      </c>
      <c r="M138" t="s">
        <v>232</v>
      </c>
      <c r="N138" t="b">
        <v>1</v>
      </c>
      <c r="O138" t="b">
        <v>0</v>
      </c>
    </row>
    <row r="139" spans="1:15">
      <c r="A139">
        <v>138</v>
      </c>
      <c r="B139" s="1">
        <v>45301.125474537039</v>
      </c>
      <c r="C139" s="2">
        <v>45301.634337488424</v>
      </c>
      <c r="D139" s="2">
        <v>45303.573032453707</v>
      </c>
      <c r="E139" t="s">
        <v>11</v>
      </c>
      <c r="F139" t="s">
        <v>4</v>
      </c>
      <c r="G139" t="s">
        <v>14</v>
      </c>
      <c r="H139">
        <v>2</v>
      </c>
      <c r="I139">
        <v>4</v>
      </c>
      <c r="J139" t="s">
        <v>35</v>
      </c>
      <c r="K139" t="s">
        <v>57</v>
      </c>
      <c r="L139" t="s">
        <v>89</v>
      </c>
      <c r="M139" t="s">
        <v>233</v>
      </c>
      <c r="N139" t="b">
        <v>0</v>
      </c>
      <c r="O139" t="b">
        <v>0</v>
      </c>
    </row>
    <row r="140" spans="1:15">
      <c r="A140">
        <v>139</v>
      </c>
      <c r="B140" s="1">
        <v>45301.225659722222</v>
      </c>
      <c r="C140" s="2">
        <v>45301.541017534721</v>
      </c>
      <c r="D140" s="2">
        <v>45301.976014490741</v>
      </c>
      <c r="E140" t="s">
        <v>10</v>
      </c>
      <c r="F140" t="s">
        <v>4</v>
      </c>
      <c r="G140" t="s">
        <v>14</v>
      </c>
      <c r="H140">
        <v>4</v>
      </c>
      <c r="I140">
        <v>7</v>
      </c>
      <c r="J140" t="s">
        <v>39</v>
      </c>
      <c r="K140" t="s">
        <v>40</v>
      </c>
      <c r="L140" t="s">
        <v>41</v>
      </c>
      <c r="M140" t="s">
        <v>234</v>
      </c>
      <c r="N140" t="b">
        <v>0</v>
      </c>
      <c r="O140" t="b">
        <v>0</v>
      </c>
    </row>
    <row r="141" spans="1:15">
      <c r="A141">
        <v>140</v>
      </c>
      <c r="B141" s="1">
        <v>45301.254629629628</v>
      </c>
      <c r="C141" s="2">
        <v>45301.369195671294</v>
      </c>
      <c r="D141" s="2">
        <v>45301.723102372685</v>
      </c>
      <c r="E141" t="s">
        <v>10</v>
      </c>
      <c r="F141" t="s">
        <v>4</v>
      </c>
      <c r="G141" t="s">
        <v>15</v>
      </c>
      <c r="H141">
        <v>3</v>
      </c>
      <c r="I141">
        <v>1</v>
      </c>
      <c r="J141" t="s">
        <v>35</v>
      </c>
      <c r="K141" t="s">
        <v>46</v>
      </c>
      <c r="L141" t="s">
        <v>66</v>
      </c>
      <c r="M141" t="s">
        <v>235</v>
      </c>
      <c r="N141" t="b">
        <v>0</v>
      </c>
      <c r="O141" t="b">
        <v>0</v>
      </c>
    </row>
    <row r="142" spans="1:15">
      <c r="A142">
        <v>141</v>
      </c>
      <c r="B142" s="1">
        <v>45301.443680555552</v>
      </c>
      <c r="C142" s="2">
        <v>45301.976884699077</v>
      </c>
      <c r="D142" s="2">
        <v>45303.564373946756</v>
      </c>
      <c r="E142" t="s">
        <v>11</v>
      </c>
      <c r="F142" t="s">
        <v>4</v>
      </c>
      <c r="G142" t="s">
        <v>17</v>
      </c>
      <c r="H142">
        <v>6</v>
      </c>
      <c r="I142">
        <v>6</v>
      </c>
      <c r="J142" t="s">
        <v>31</v>
      </c>
      <c r="K142" t="s">
        <v>73</v>
      </c>
      <c r="L142" t="s">
        <v>171</v>
      </c>
      <c r="M142" t="s">
        <v>236</v>
      </c>
      <c r="N142" t="b">
        <v>0</v>
      </c>
      <c r="O142" t="b">
        <v>0</v>
      </c>
    </row>
    <row r="143" spans="1:15">
      <c r="A143">
        <v>142</v>
      </c>
      <c r="B143" s="1">
        <v>45301.498124999998</v>
      </c>
      <c r="C143" s="2">
        <v>45301.549994490742</v>
      </c>
      <c r="D143" s="2">
        <v>45301.808866446758</v>
      </c>
      <c r="E143" t="s">
        <v>9</v>
      </c>
      <c r="F143" t="s">
        <v>2</v>
      </c>
      <c r="G143" t="s">
        <v>16</v>
      </c>
      <c r="H143">
        <v>3</v>
      </c>
      <c r="I143">
        <v>1</v>
      </c>
      <c r="J143" t="s">
        <v>68</v>
      </c>
      <c r="K143" t="s">
        <v>46</v>
      </c>
      <c r="L143" t="s">
        <v>66</v>
      </c>
      <c r="M143" t="s">
        <v>237</v>
      </c>
      <c r="N143" t="b">
        <v>1</v>
      </c>
      <c r="O143" t="b">
        <v>0</v>
      </c>
    </row>
    <row r="144" spans="1:15">
      <c r="A144">
        <v>143</v>
      </c>
      <c r="B144" s="1">
        <v>45301.507511574076</v>
      </c>
      <c r="C144" s="2">
        <v>45301.697249027777</v>
      </c>
      <c r="D144" s="2">
        <v>45301.766174201388</v>
      </c>
      <c r="E144" t="s">
        <v>10</v>
      </c>
      <c r="F144" t="s">
        <v>4</v>
      </c>
      <c r="G144" t="s">
        <v>17</v>
      </c>
      <c r="H144">
        <v>4</v>
      </c>
      <c r="I144">
        <v>10</v>
      </c>
      <c r="J144" t="s">
        <v>49</v>
      </c>
      <c r="K144" t="s">
        <v>40</v>
      </c>
      <c r="L144" t="s">
        <v>98</v>
      </c>
      <c r="M144" t="s">
        <v>238</v>
      </c>
      <c r="N144" t="b">
        <v>0</v>
      </c>
      <c r="O144" t="b">
        <v>0</v>
      </c>
    </row>
    <row r="145" spans="1:15">
      <c r="A145">
        <v>144</v>
      </c>
      <c r="B145" s="1">
        <v>45301.651631944442</v>
      </c>
      <c r="C145" s="2">
        <v>45301.80336114583</v>
      </c>
      <c r="D145" s="2">
        <v>45302.591089525464</v>
      </c>
      <c r="E145" t="s">
        <v>10</v>
      </c>
      <c r="F145" t="s">
        <v>4</v>
      </c>
      <c r="G145" t="s">
        <v>15</v>
      </c>
      <c r="H145">
        <v>2</v>
      </c>
      <c r="I145">
        <v>2</v>
      </c>
      <c r="J145" t="s">
        <v>68</v>
      </c>
      <c r="K145" t="s">
        <v>57</v>
      </c>
      <c r="L145" t="s">
        <v>62</v>
      </c>
      <c r="M145" t="s">
        <v>239</v>
      </c>
      <c r="N145" t="b">
        <v>1</v>
      </c>
      <c r="O145" t="b">
        <v>0</v>
      </c>
    </row>
    <row r="146" spans="1:15">
      <c r="A146">
        <v>145</v>
      </c>
      <c r="B146" s="1">
        <v>45301.712800925925</v>
      </c>
      <c r="C146" s="2">
        <v>45301.818929270834</v>
      </c>
      <c r="D146" s="2">
        <v>45301.978001319447</v>
      </c>
      <c r="E146" t="s">
        <v>9</v>
      </c>
      <c r="F146" t="s">
        <v>4</v>
      </c>
      <c r="G146" t="s">
        <v>14</v>
      </c>
      <c r="H146">
        <v>5</v>
      </c>
      <c r="I146">
        <v>2</v>
      </c>
      <c r="J146" t="s">
        <v>49</v>
      </c>
      <c r="K146" t="s">
        <v>32</v>
      </c>
      <c r="L146" t="s">
        <v>106</v>
      </c>
      <c r="M146" t="s">
        <v>240</v>
      </c>
      <c r="N146" t="b">
        <v>0</v>
      </c>
      <c r="O146" t="b">
        <v>0</v>
      </c>
    </row>
    <row r="147" spans="1:15">
      <c r="A147">
        <v>146</v>
      </c>
      <c r="B147" s="1">
        <v>45301.727812500001</v>
      </c>
      <c r="C147" s="2">
        <v>45302.271580972221</v>
      </c>
      <c r="D147" s="2">
        <v>45304.126718368054</v>
      </c>
      <c r="E147" t="s">
        <v>11</v>
      </c>
      <c r="F147" t="s">
        <v>4</v>
      </c>
      <c r="G147" t="s">
        <v>15</v>
      </c>
      <c r="H147">
        <v>5</v>
      </c>
      <c r="I147">
        <v>2</v>
      </c>
      <c r="J147" t="s">
        <v>49</v>
      </c>
      <c r="K147" t="s">
        <v>32</v>
      </c>
      <c r="L147" t="s">
        <v>138</v>
      </c>
      <c r="M147" t="s">
        <v>241</v>
      </c>
      <c r="N147" t="b">
        <v>0</v>
      </c>
      <c r="O147" t="b">
        <v>0</v>
      </c>
    </row>
    <row r="148" spans="1:15">
      <c r="A148">
        <v>147</v>
      </c>
      <c r="B148" s="1">
        <v>45301.772037037037</v>
      </c>
      <c r="C148" s="2">
        <v>45302.031685486108</v>
      </c>
      <c r="D148" s="2">
        <v>45304.616542037038</v>
      </c>
      <c r="E148" t="s">
        <v>11</v>
      </c>
      <c r="F148" t="s">
        <v>2</v>
      </c>
      <c r="G148" t="s">
        <v>14</v>
      </c>
      <c r="H148">
        <v>5</v>
      </c>
      <c r="I148">
        <v>3</v>
      </c>
      <c r="J148" t="s">
        <v>68</v>
      </c>
      <c r="K148" t="s">
        <v>32</v>
      </c>
      <c r="L148" t="s">
        <v>55</v>
      </c>
      <c r="M148" t="s">
        <v>242</v>
      </c>
      <c r="N148" t="b">
        <v>1</v>
      </c>
      <c r="O148" t="b">
        <v>0</v>
      </c>
    </row>
    <row r="149" spans="1:15">
      <c r="A149">
        <v>148</v>
      </c>
      <c r="B149" s="1">
        <v>45301.952939814815</v>
      </c>
      <c r="C149" s="2">
        <v>45302.275527511571</v>
      </c>
      <c r="D149" s="2">
        <v>45302.609113229169</v>
      </c>
      <c r="E149" t="s">
        <v>10</v>
      </c>
      <c r="F149" t="s">
        <v>4</v>
      </c>
      <c r="G149" t="s">
        <v>15</v>
      </c>
      <c r="H149">
        <v>3</v>
      </c>
      <c r="I149">
        <v>5</v>
      </c>
      <c r="J149" t="s">
        <v>68</v>
      </c>
      <c r="K149" t="s">
        <v>46</v>
      </c>
      <c r="L149" t="s">
        <v>124</v>
      </c>
      <c r="M149" t="s">
        <v>243</v>
      </c>
      <c r="N149" t="b">
        <v>0</v>
      </c>
      <c r="O149" t="b">
        <v>0</v>
      </c>
    </row>
    <row r="150" spans="1:15">
      <c r="A150">
        <v>149</v>
      </c>
      <c r="B150" s="1">
        <v>45302.083483796298</v>
      </c>
      <c r="C150" s="2">
        <v>45302.738212893521</v>
      </c>
      <c r="D150" s="2">
        <v>45303.813225972219</v>
      </c>
      <c r="E150" t="s">
        <v>11</v>
      </c>
      <c r="F150" t="s">
        <v>4</v>
      </c>
      <c r="G150" t="s">
        <v>14</v>
      </c>
      <c r="H150">
        <v>7</v>
      </c>
      <c r="I150">
        <v>7</v>
      </c>
      <c r="J150" t="s">
        <v>52</v>
      </c>
      <c r="K150" t="s">
        <v>43</v>
      </c>
      <c r="L150" t="s">
        <v>200</v>
      </c>
      <c r="M150" t="s">
        <v>244</v>
      </c>
      <c r="N150" t="b">
        <v>0</v>
      </c>
      <c r="O150" t="b">
        <v>0</v>
      </c>
    </row>
    <row r="151" spans="1:15">
      <c r="A151">
        <v>150</v>
      </c>
      <c r="B151" s="1">
        <v>45302.124560185184</v>
      </c>
      <c r="C151" s="2">
        <v>45302.226563217591</v>
      </c>
      <c r="D151" s="2">
        <v>45302.245738113423</v>
      </c>
      <c r="E151" t="s">
        <v>9</v>
      </c>
      <c r="F151" t="s">
        <v>4</v>
      </c>
      <c r="G151" t="s">
        <v>17</v>
      </c>
      <c r="H151">
        <v>5</v>
      </c>
      <c r="I151">
        <v>10</v>
      </c>
      <c r="J151" t="s">
        <v>39</v>
      </c>
      <c r="K151" t="s">
        <v>32</v>
      </c>
      <c r="L151" t="s">
        <v>91</v>
      </c>
      <c r="M151" t="s">
        <v>245</v>
      </c>
      <c r="N151" t="b">
        <v>0</v>
      </c>
      <c r="O151" t="b">
        <v>0</v>
      </c>
    </row>
    <row r="152" spans="1:15">
      <c r="A152">
        <v>151</v>
      </c>
      <c r="B152" s="1">
        <v>45302.23605324074</v>
      </c>
      <c r="C152" s="2">
        <v>45302.80779309028</v>
      </c>
      <c r="D152" s="2">
        <v>45304.938043310183</v>
      </c>
      <c r="E152" t="s">
        <v>11</v>
      </c>
      <c r="F152" t="s">
        <v>4</v>
      </c>
      <c r="G152" t="s">
        <v>15</v>
      </c>
      <c r="H152">
        <v>2</v>
      </c>
      <c r="I152">
        <v>9</v>
      </c>
      <c r="J152" t="s">
        <v>39</v>
      </c>
      <c r="K152" t="s">
        <v>57</v>
      </c>
      <c r="L152" t="s">
        <v>156</v>
      </c>
      <c r="M152" t="s">
        <v>246</v>
      </c>
      <c r="N152" t="b">
        <v>1</v>
      </c>
      <c r="O152" t="b">
        <v>0</v>
      </c>
    </row>
    <row r="153" spans="1:15">
      <c r="A153">
        <v>152</v>
      </c>
      <c r="B153" s="1">
        <v>45302.283055555556</v>
      </c>
      <c r="C153" s="2">
        <v>45302.881588159726</v>
      </c>
      <c r="D153" s="2">
        <v>45304.979682268517</v>
      </c>
      <c r="E153" t="s">
        <v>11</v>
      </c>
      <c r="F153" t="s">
        <v>4</v>
      </c>
      <c r="G153" t="s">
        <v>16</v>
      </c>
      <c r="H153">
        <v>3</v>
      </c>
      <c r="I153">
        <v>1</v>
      </c>
      <c r="J153" t="s">
        <v>49</v>
      </c>
      <c r="K153" t="s">
        <v>46</v>
      </c>
      <c r="L153" t="s">
        <v>69</v>
      </c>
      <c r="M153" t="s">
        <v>247</v>
      </c>
      <c r="N153" t="b">
        <v>0</v>
      </c>
      <c r="O153" t="b">
        <v>0</v>
      </c>
    </row>
    <row r="154" spans="1:15">
      <c r="A154">
        <v>153</v>
      </c>
      <c r="B154" s="1">
        <v>45302.29011574074</v>
      </c>
      <c r="C154" s="2">
        <v>45302.410960011577</v>
      </c>
      <c r="D154" s="2">
        <v>45302.662181307867</v>
      </c>
      <c r="E154" t="s">
        <v>10</v>
      </c>
      <c r="F154" t="s">
        <v>4</v>
      </c>
      <c r="G154" t="s">
        <v>17</v>
      </c>
      <c r="H154">
        <v>6</v>
      </c>
      <c r="I154">
        <v>5</v>
      </c>
      <c r="J154" t="s">
        <v>68</v>
      </c>
      <c r="K154" t="s">
        <v>73</v>
      </c>
      <c r="L154" t="s">
        <v>110</v>
      </c>
      <c r="M154" t="s">
        <v>248</v>
      </c>
      <c r="N154" t="b">
        <v>0</v>
      </c>
      <c r="O154" t="b">
        <v>0</v>
      </c>
    </row>
    <row r="155" spans="1:15">
      <c r="A155">
        <v>154</v>
      </c>
      <c r="B155" s="1">
        <v>45302.304571759261</v>
      </c>
      <c r="C155" s="2">
        <v>45302.618713159725</v>
      </c>
      <c r="D155" s="2">
        <v>45303.022656469904</v>
      </c>
      <c r="E155" t="s">
        <v>10</v>
      </c>
      <c r="F155" t="s">
        <v>4</v>
      </c>
      <c r="G155" t="s">
        <v>15</v>
      </c>
      <c r="H155">
        <v>1</v>
      </c>
      <c r="I155">
        <v>9</v>
      </c>
      <c r="J155" t="s">
        <v>35</v>
      </c>
      <c r="K155" t="s">
        <v>71</v>
      </c>
      <c r="L155" t="s">
        <v>58</v>
      </c>
      <c r="M155" t="s">
        <v>249</v>
      </c>
      <c r="N155" t="b">
        <v>0</v>
      </c>
      <c r="O155" t="b">
        <v>0</v>
      </c>
    </row>
    <row r="156" spans="1:15">
      <c r="A156">
        <v>155</v>
      </c>
      <c r="B156" s="1">
        <v>45302.371840277781</v>
      </c>
      <c r="C156" s="2">
        <v>45303.05510946759</v>
      </c>
      <c r="D156" s="2">
        <v>45304.715076192129</v>
      </c>
      <c r="E156" t="s">
        <v>11</v>
      </c>
      <c r="F156" t="s">
        <v>4</v>
      </c>
      <c r="G156" t="s">
        <v>14</v>
      </c>
      <c r="H156">
        <v>3</v>
      </c>
      <c r="I156">
        <v>2</v>
      </c>
      <c r="J156" t="s">
        <v>39</v>
      </c>
      <c r="K156" t="s">
        <v>46</v>
      </c>
      <c r="L156" t="s">
        <v>250</v>
      </c>
      <c r="M156" t="s">
        <v>251</v>
      </c>
      <c r="N156" t="b">
        <v>0</v>
      </c>
      <c r="O156" t="b">
        <v>0</v>
      </c>
    </row>
    <row r="157" spans="1:15">
      <c r="A157">
        <v>156</v>
      </c>
      <c r="B157" s="1">
        <v>45302.412800925929</v>
      </c>
      <c r="C157" s="2">
        <v>45302.726541122684</v>
      </c>
      <c r="D157" s="2">
        <v>45302.814207210649</v>
      </c>
      <c r="E157" t="s">
        <v>10</v>
      </c>
      <c r="F157" t="s">
        <v>4</v>
      </c>
      <c r="G157" t="s">
        <v>17</v>
      </c>
      <c r="H157">
        <v>7</v>
      </c>
      <c r="I157">
        <v>7</v>
      </c>
      <c r="J157" t="s">
        <v>35</v>
      </c>
      <c r="K157" t="s">
        <v>43</v>
      </c>
      <c r="L157" t="s">
        <v>124</v>
      </c>
      <c r="M157" t="s">
        <v>252</v>
      </c>
      <c r="N157" t="b">
        <v>0</v>
      </c>
      <c r="O157" t="b">
        <v>0</v>
      </c>
    </row>
    <row r="158" spans="1:15">
      <c r="A158">
        <v>157</v>
      </c>
      <c r="B158" s="1">
        <v>45302.43990740741</v>
      </c>
      <c r="C158" s="2">
        <v>45302.641895289351</v>
      </c>
      <c r="D158" s="2">
        <v>45302.846456898151</v>
      </c>
      <c r="E158" t="s">
        <v>10</v>
      </c>
      <c r="F158" t="s">
        <v>4</v>
      </c>
      <c r="G158" t="s">
        <v>15</v>
      </c>
      <c r="H158">
        <v>4</v>
      </c>
      <c r="I158">
        <v>5</v>
      </c>
      <c r="J158" t="s">
        <v>39</v>
      </c>
      <c r="K158" t="s">
        <v>40</v>
      </c>
      <c r="L158" t="s">
        <v>253</v>
      </c>
      <c r="M158" t="s">
        <v>254</v>
      </c>
      <c r="N158" t="b">
        <v>0</v>
      </c>
      <c r="O158" t="b">
        <v>0</v>
      </c>
    </row>
    <row r="159" spans="1:15">
      <c r="A159">
        <v>158</v>
      </c>
      <c r="B159" s="1">
        <v>45302.488888888889</v>
      </c>
      <c r="C159" s="2">
        <v>45302.558771249998</v>
      </c>
      <c r="D159" s="2">
        <v>45303.297132581021</v>
      </c>
      <c r="E159" t="s">
        <v>10</v>
      </c>
      <c r="F159" t="s">
        <v>4</v>
      </c>
      <c r="G159" t="s">
        <v>17</v>
      </c>
      <c r="H159">
        <v>5</v>
      </c>
      <c r="I159">
        <v>2</v>
      </c>
      <c r="J159" t="s">
        <v>52</v>
      </c>
      <c r="K159" t="s">
        <v>32</v>
      </c>
      <c r="L159" t="s">
        <v>153</v>
      </c>
      <c r="M159" t="s">
        <v>255</v>
      </c>
      <c r="N159" t="b">
        <v>0</v>
      </c>
      <c r="O159" t="b">
        <v>0</v>
      </c>
    </row>
    <row r="160" spans="1:15">
      <c r="A160">
        <v>159</v>
      </c>
      <c r="B160" s="1">
        <v>45302.503611111111</v>
      </c>
      <c r="C160" s="2">
        <v>45302.578074513891</v>
      </c>
      <c r="D160" s="2">
        <v>45302.777525138888</v>
      </c>
      <c r="E160" t="s">
        <v>9</v>
      </c>
      <c r="F160" t="s">
        <v>4</v>
      </c>
      <c r="G160" t="s">
        <v>16</v>
      </c>
      <c r="H160">
        <v>6</v>
      </c>
      <c r="I160">
        <v>1</v>
      </c>
      <c r="J160" t="s">
        <v>49</v>
      </c>
      <c r="K160" t="s">
        <v>73</v>
      </c>
      <c r="L160" t="s">
        <v>69</v>
      </c>
      <c r="M160" t="s">
        <v>256</v>
      </c>
      <c r="N160" t="b">
        <v>0</v>
      </c>
      <c r="O160" t="b">
        <v>0</v>
      </c>
    </row>
    <row r="161" spans="1:15">
      <c r="A161">
        <v>160</v>
      </c>
      <c r="B161" s="1">
        <v>45302.520532407405</v>
      </c>
      <c r="C161" s="2">
        <v>45302.580815150461</v>
      </c>
      <c r="D161" s="2">
        <v>45302.707131620373</v>
      </c>
      <c r="E161" t="s">
        <v>9</v>
      </c>
      <c r="F161" t="s">
        <v>4</v>
      </c>
      <c r="G161" t="s">
        <v>15</v>
      </c>
      <c r="H161">
        <v>3</v>
      </c>
      <c r="I161">
        <v>3</v>
      </c>
      <c r="J161" t="s">
        <v>39</v>
      </c>
      <c r="K161" t="s">
        <v>46</v>
      </c>
      <c r="L161" t="s">
        <v>192</v>
      </c>
      <c r="M161" t="s">
        <v>257</v>
      </c>
      <c r="N161" t="b">
        <v>0</v>
      </c>
      <c r="O161" t="b">
        <v>0</v>
      </c>
    </row>
    <row r="162" spans="1:15">
      <c r="A162">
        <v>161</v>
      </c>
      <c r="B162" s="1">
        <v>45302.521863425929</v>
      </c>
      <c r="C162" s="2">
        <v>45302.570773356485</v>
      </c>
      <c r="D162" s="2">
        <v>45303.254672546296</v>
      </c>
      <c r="E162" t="s">
        <v>10</v>
      </c>
      <c r="F162" t="s">
        <v>4</v>
      </c>
      <c r="G162" t="s">
        <v>14</v>
      </c>
      <c r="H162">
        <v>7</v>
      </c>
      <c r="I162">
        <v>1</v>
      </c>
      <c r="J162" t="s">
        <v>49</v>
      </c>
      <c r="K162" t="s">
        <v>43</v>
      </c>
      <c r="L162" t="s">
        <v>64</v>
      </c>
      <c r="M162" t="s">
        <v>258</v>
      </c>
      <c r="N162" t="b">
        <v>0</v>
      </c>
      <c r="O162" t="b">
        <v>0</v>
      </c>
    </row>
    <row r="163" spans="1:15">
      <c r="A163">
        <v>162</v>
      </c>
      <c r="B163" s="1">
        <v>45302.54855324074</v>
      </c>
      <c r="C163" s="2">
        <v>45302.771030150463</v>
      </c>
      <c r="D163" s="2">
        <v>45304.309044687499</v>
      </c>
      <c r="E163" t="s">
        <v>11</v>
      </c>
      <c r="F163" t="s">
        <v>4</v>
      </c>
      <c r="G163" t="s">
        <v>17</v>
      </c>
      <c r="H163">
        <v>1</v>
      </c>
      <c r="I163">
        <v>2</v>
      </c>
      <c r="J163" t="s">
        <v>31</v>
      </c>
      <c r="K163" t="s">
        <v>71</v>
      </c>
      <c r="L163" t="s">
        <v>78</v>
      </c>
      <c r="M163" t="s">
        <v>259</v>
      </c>
      <c r="N163" t="b">
        <v>0</v>
      </c>
      <c r="O163" t="b">
        <v>0</v>
      </c>
    </row>
    <row r="164" spans="1:15">
      <c r="A164">
        <v>163</v>
      </c>
      <c r="B164" s="1">
        <v>45302.573483796295</v>
      </c>
      <c r="C164" s="2">
        <v>45302.704889120374</v>
      </c>
      <c r="D164" s="2">
        <v>45303.143007928244</v>
      </c>
      <c r="E164" t="s">
        <v>10</v>
      </c>
      <c r="F164" t="s">
        <v>2</v>
      </c>
      <c r="G164" t="s">
        <v>15</v>
      </c>
      <c r="H164">
        <v>4</v>
      </c>
      <c r="I164">
        <v>6</v>
      </c>
      <c r="J164" t="s">
        <v>31</v>
      </c>
      <c r="K164" t="s">
        <v>40</v>
      </c>
      <c r="L164" t="s">
        <v>64</v>
      </c>
      <c r="M164" t="s">
        <v>150</v>
      </c>
      <c r="N164" t="b">
        <v>0</v>
      </c>
      <c r="O164" t="b">
        <v>0</v>
      </c>
    </row>
    <row r="165" spans="1:15">
      <c r="A165">
        <v>164</v>
      </c>
      <c r="B165" s="1">
        <v>45302.598379629628</v>
      </c>
      <c r="C165" s="2">
        <v>45302.649177708336</v>
      </c>
      <c r="D165" s="2">
        <v>45303.172719456015</v>
      </c>
      <c r="E165" t="s">
        <v>10</v>
      </c>
      <c r="F165" t="s">
        <v>4</v>
      </c>
      <c r="G165" t="s">
        <v>14</v>
      </c>
      <c r="H165">
        <v>5</v>
      </c>
      <c r="I165">
        <v>8</v>
      </c>
      <c r="J165" t="s">
        <v>68</v>
      </c>
      <c r="K165" t="s">
        <v>32</v>
      </c>
      <c r="L165" t="s">
        <v>104</v>
      </c>
      <c r="M165" t="s">
        <v>260</v>
      </c>
      <c r="N165" t="b">
        <v>0</v>
      </c>
      <c r="O165" t="b">
        <v>0</v>
      </c>
    </row>
    <row r="166" spans="1:15">
      <c r="A166">
        <v>165</v>
      </c>
      <c r="B166" s="1">
        <v>45302.770601851851</v>
      </c>
      <c r="C166" s="2">
        <v>45303.001459108797</v>
      </c>
      <c r="D166" s="2">
        <v>45303.12924642361</v>
      </c>
      <c r="E166" t="s">
        <v>10</v>
      </c>
      <c r="F166" t="s">
        <v>4</v>
      </c>
      <c r="G166" t="s">
        <v>17</v>
      </c>
      <c r="H166">
        <v>2</v>
      </c>
      <c r="I166">
        <v>6</v>
      </c>
      <c r="J166" t="s">
        <v>68</v>
      </c>
      <c r="K166" t="s">
        <v>57</v>
      </c>
      <c r="L166" t="s">
        <v>213</v>
      </c>
      <c r="M166" t="s">
        <v>261</v>
      </c>
      <c r="N166" t="b">
        <v>0</v>
      </c>
      <c r="O166" t="b">
        <v>0</v>
      </c>
    </row>
    <row r="167" spans="1:15">
      <c r="A167">
        <v>166</v>
      </c>
      <c r="B167" s="1">
        <v>45302.947372685187</v>
      </c>
      <c r="C167" s="2">
        <v>45303.165691400463</v>
      </c>
      <c r="D167" s="2">
        <v>45303.216674027775</v>
      </c>
      <c r="E167" t="s">
        <v>10</v>
      </c>
      <c r="F167" t="s">
        <v>4</v>
      </c>
      <c r="G167" t="s">
        <v>14</v>
      </c>
      <c r="H167">
        <v>7</v>
      </c>
      <c r="I167">
        <v>8</v>
      </c>
      <c r="J167" t="s">
        <v>52</v>
      </c>
      <c r="K167" t="s">
        <v>43</v>
      </c>
      <c r="L167" t="s">
        <v>200</v>
      </c>
      <c r="M167" t="s">
        <v>262</v>
      </c>
      <c r="N167" t="b">
        <v>0</v>
      </c>
      <c r="O167" t="b">
        <v>0</v>
      </c>
    </row>
    <row r="168" spans="1:15">
      <c r="A168">
        <v>167</v>
      </c>
      <c r="B168" s="1">
        <v>45303.174432870372</v>
      </c>
      <c r="C168" s="2">
        <v>45303.253017777781</v>
      </c>
      <c r="D168" s="2">
        <v>45303.901125763892</v>
      </c>
      <c r="E168" t="s">
        <v>10</v>
      </c>
      <c r="F168" t="s">
        <v>4</v>
      </c>
      <c r="G168" t="s">
        <v>17</v>
      </c>
      <c r="H168">
        <v>1</v>
      </c>
      <c r="I168">
        <v>1</v>
      </c>
      <c r="J168" t="s">
        <v>49</v>
      </c>
      <c r="K168" t="s">
        <v>71</v>
      </c>
      <c r="L168" t="s">
        <v>131</v>
      </c>
      <c r="M168" t="s">
        <v>263</v>
      </c>
      <c r="N168" t="b">
        <v>0</v>
      </c>
      <c r="O168" t="b">
        <v>0</v>
      </c>
    </row>
    <row r="169" spans="1:15">
      <c r="A169">
        <v>168</v>
      </c>
      <c r="B169" s="1">
        <v>45303.242638888885</v>
      </c>
      <c r="C169" s="2">
        <v>45303.309780393516</v>
      </c>
      <c r="D169" s="2">
        <v>45303.471362800927</v>
      </c>
      <c r="E169" t="s">
        <v>9</v>
      </c>
      <c r="F169" t="s">
        <v>4</v>
      </c>
      <c r="G169" t="s">
        <v>15</v>
      </c>
      <c r="H169">
        <v>6</v>
      </c>
      <c r="I169">
        <v>4</v>
      </c>
      <c r="J169" t="s">
        <v>39</v>
      </c>
      <c r="K169" t="s">
        <v>73</v>
      </c>
      <c r="L169" t="s">
        <v>153</v>
      </c>
      <c r="M169" t="s">
        <v>264</v>
      </c>
      <c r="N169" t="b">
        <v>0</v>
      </c>
      <c r="O169" t="b">
        <v>0</v>
      </c>
    </row>
    <row r="170" spans="1:15">
      <c r="A170">
        <v>169</v>
      </c>
      <c r="B170" s="1">
        <v>45303.342291666668</v>
      </c>
      <c r="C170" s="2">
        <v>45303.888618530094</v>
      </c>
      <c r="D170" s="2">
        <v>45304.37610144676</v>
      </c>
      <c r="E170" t="s">
        <v>11</v>
      </c>
      <c r="F170" t="s">
        <v>4</v>
      </c>
      <c r="G170" t="s">
        <v>15</v>
      </c>
      <c r="H170">
        <v>6</v>
      </c>
      <c r="I170">
        <v>7</v>
      </c>
      <c r="J170" t="s">
        <v>49</v>
      </c>
      <c r="K170" t="s">
        <v>73</v>
      </c>
      <c r="L170" t="s">
        <v>91</v>
      </c>
      <c r="M170" t="s">
        <v>265</v>
      </c>
      <c r="N170" t="b">
        <v>0</v>
      </c>
      <c r="O170" t="b">
        <v>0</v>
      </c>
    </row>
    <row r="171" spans="1:15">
      <c r="A171">
        <v>170</v>
      </c>
      <c r="B171" s="1">
        <v>45303.434259259258</v>
      </c>
      <c r="C171" s="2">
        <v>45303.519996712967</v>
      </c>
      <c r="D171" s="2">
        <v>45304.359362175928</v>
      </c>
      <c r="E171" t="s">
        <v>10</v>
      </c>
      <c r="F171" t="s">
        <v>4</v>
      </c>
      <c r="G171" t="s">
        <v>15</v>
      </c>
      <c r="H171">
        <v>7</v>
      </c>
      <c r="I171">
        <v>1</v>
      </c>
      <c r="J171" t="s">
        <v>49</v>
      </c>
      <c r="K171" t="s">
        <v>43</v>
      </c>
      <c r="L171" t="s">
        <v>50</v>
      </c>
      <c r="M171" t="s">
        <v>266</v>
      </c>
      <c r="N171" t="b">
        <v>1</v>
      </c>
      <c r="O171" t="b">
        <v>0</v>
      </c>
    </row>
    <row r="172" spans="1:15">
      <c r="A172">
        <v>171</v>
      </c>
      <c r="B172" s="1">
        <v>45303.585162037038</v>
      </c>
      <c r="C172" s="2">
        <v>45303.817142476852</v>
      </c>
      <c r="D172" s="2">
        <v>45306.495406689814</v>
      </c>
      <c r="E172" t="s">
        <v>11</v>
      </c>
      <c r="F172" t="s">
        <v>4</v>
      </c>
      <c r="G172" t="s">
        <v>17</v>
      </c>
      <c r="H172">
        <v>2</v>
      </c>
      <c r="I172">
        <v>6</v>
      </c>
      <c r="J172" t="s">
        <v>35</v>
      </c>
      <c r="K172" t="s">
        <v>57</v>
      </c>
      <c r="L172" t="s">
        <v>134</v>
      </c>
      <c r="M172" t="s">
        <v>267</v>
      </c>
      <c r="N172" t="b">
        <v>1</v>
      </c>
      <c r="O172" t="b">
        <v>0</v>
      </c>
    </row>
    <row r="173" spans="1:15">
      <c r="A173">
        <v>172</v>
      </c>
      <c r="B173" s="1">
        <v>45303.631956018522</v>
      </c>
      <c r="C173" s="2">
        <v>45303.965205671295</v>
      </c>
      <c r="D173" s="2">
        <v>45304.448730416669</v>
      </c>
      <c r="E173" t="s">
        <v>10</v>
      </c>
      <c r="F173" t="s">
        <v>4</v>
      </c>
      <c r="G173" t="s">
        <v>16</v>
      </c>
      <c r="H173">
        <v>2</v>
      </c>
      <c r="I173">
        <v>2</v>
      </c>
      <c r="J173" t="s">
        <v>49</v>
      </c>
      <c r="K173" t="s">
        <v>57</v>
      </c>
      <c r="L173" t="s">
        <v>213</v>
      </c>
      <c r="M173" t="s">
        <v>268</v>
      </c>
      <c r="N173" t="b">
        <v>0</v>
      </c>
      <c r="O173" t="b">
        <v>0</v>
      </c>
    </row>
    <row r="174" spans="1:15">
      <c r="A174">
        <v>173</v>
      </c>
      <c r="B174" s="1">
        <v>45303.662893518522</v>
      </c>
      <c r="C174" s="2">
        <v>45304.193149189814</v>
      </c>
      <c r="D174" s="2">
        <v>45305.080606481482</v>
      </c>
      <c r="E174" t="s">
        <v>11</v>
      </c>
      <c r="F174" t="s">
        <v>4</v>
      </c>
      <c r="G174" t="s">
        <v>14</v>
      </c>
      <c r="H174">
        <v>5</v>
      </c>
      <c r="I174">
        <v>5</v>
      </c>
      <c r="J174" t="s">
        <v>31</v>
      </c>
      <c r="K174" t="s">
        <v>32</v>
      </c>
      <c r="L174" t="s">
        <v>44</v>
      </c>
      <c r="M174" t="s">
        <v>269</v>
      </c>
      <c r="N174" t="b">
        <v>0</v>
      </c>
      <c r="O174" t="b">
        <v>0</v>
      </c>
    </row>
    <row r="175" spans="1:15">
      <c r="A175">
        <v>174</v>
      </c>
      <c r="B175" s="1">
        <v>45303.781307870369</v>
      </c>
      <c r="C175" s="2">
        <v>45303.804525358799</v>
      </c>
      <c r="D175" s="2">
        <v>45304.029221018522</v>
      </c>
      <c r="E175" t="s">
        <v>9</v>
      </c>
      <c r="F175" t="s">
        <v>4</v>
      </c>
      <c r="G175" t="s">
        <v>14</v>
      </c>
      <c r="H175">
        <v>8</v>
      </c>
      <c r="I175">
        <v>7</v>
      </c>
      <c r="J175" t="s">
        <v>52</v>
      </c>
      <c r="K175" t="s">
        <v>36</v>
      </c>
      <c r="L175" t="s">
        <v>124</v>
      </c>
      <c r="M175" t="s">
        <v>270</v>
      </c>
      <c r="N175" t="b">
        <v>0</v>
      </c>
      <c r="O175" t="b">
        <v>0</v>
      </c>
    </row>
    <row r="176" spans="1:15">
      <c r="A176">
        <v>175</v>
      </c>
      <c r="B176" s="1">
        <v>45303.848599537036</v>
      </c>
      <c r="C176" s="2">
        <v>45304.098203252317</v>
      </c>
      <c r="D176" s="2">
        <v>45304.687039398152</v>
      </c>
      <c r="E176" t="s">
        <v>11</v>
      </c>
      <c r="F176" t="s">
        <v>4</v>
      </c>
      <c r="G176" t="s">
        <v>17</v>
      </c>
      <c r="H176">
        <v>7</v>
      </c>
      <c r="I176">
        <v>10</v>
      </c>
      <c r="J176" t="s">
        <v>31</v>
      </c>
      <c r="K176" t="s">
        <v>43</v>
      </c>
      <c r="L176" t="s">
        <v>188</v>
      </c>
      <c r="M176" t="s">
        <v>271</v>
      </c>
      <c r="N176" t="b">
        <v>0</v>
      </c>
      <c r="O176" t="b">
        <v>0</v>
      </c>
    </row>
    <row r="177" spans="1:15">
      <c r="A177">
        <v>176</v>
      </c>
      <c r="B177" s="1">
        <v>45303.886666666665</v>
      </c>
      <c r="C177" s="2">
        <v>45304.209143483793</v>
      </c>
      <c r="D177" s="2">
        <v>45304.396903009256</v>
      </c>
      <c r="E177" t="s">
        <v>10</v>
      </c>
      <c r="F177" t="s">
        <v>2</v>
      </c>
      <c r="G177" t="s">
        <v>15</v>
      </c>
      <c r="H177">
        <v>2</v>
      </c>
      <c r="I177">
        <v>1</v>
      </c>
      <c r="J177" t="s">
        <v>68</v>
      </c>
      <c r="K177" t="s">
        <v>57</v>
      </c>
      <c r="L177" t="s">
        <v>100</v>
      </c>
      <c r="M177" t="s">
        <v>272</v>
      </c>
      <c r="N177" t="b">
        <v>0</v>
      </c>
      <c r="O177" t="b">
        <v>0</v>
      </c>
    </row>
    <row r="178" spans="1:15">
      <c r="A178">
        <v>177</v>
      </c>
      <c r="B178" s="1">
        <v>45303.963402777779</v>
      </c>
      <c r="C178" s="2">
        <v>45304.049945960651</v>
      </c>
      <c r="D178" s="2">
        <v>45304.198906284721</v>
      </c>
      <c r="E178" t="s">
        <v>9</v>
      </c>
      <c r="F178" t="s">
        <v>2</v>
      </c>
      <c r="G178" t="s">
        <v>14</v>
      </c>
      <c r="H178">
        <v>4</v>
      </c>
      <c r="I178">
        <v>6</v>
      </c>
      <c r="J178" t="s">
        <v>68</v>
      </c>
      <c r="K178" t="s">
        <v>40</v>
      </c>
      <c r="L178" t="s">
        <v>91</v>
      </c>
      <c r="M178" t="s">
        <v>273</v>
      </c>
      <c r="N178" t="b">
        <v>0</v>
      </c>
      <c r="O178" t="b">
        <v>0</v>
      </c>
    </row>
    <row r="179" spans="1:15">
      <c r="A179">
        <v>178</v>
      </c>
      <c r="B179" s="1">
        <v>45303.992685185185</v>
      </c>
      <c r="C179" s="2">
        <v>45304.252898576386</v>
      </c>
      <c r="D179" s="2">
        <v>45304.275115625001</v>
      </c>
      <c r="E179" t="s">
        <v>10</v>
      </c>
      <c r="F179" t="s">
        <v>4</v>
      </c>
      <c r="G179" t="s">
        <v>15</v>
      </c>
      <c r="H179">
        <v>3</v>
      </c>
      <c r="I179">
        <v>6</v>
      </c>
      <c r="J179" t="s">
        <v>68</v>
      </c>
      <c r="K179" t="s">
        <v>46</v>
      </c>
      <c r="L179" t="s">
        <v>253</v>
      </c>
      <c r="M179" t="s">
        <v>274</v>
      </c>
      <c r="N179" t="b">
        <v>0</v>
      </c>
      <c r="O179" t="b">
        <v>0</v>
      </c>
    </row>
    <row r="180" spans="1:15">
      <c r="A180">
        <v>179</v>
      </c>
      <c r="B180" s="1">
        <v>45304.054780092592</v>
      </c>
      <c r="C180" s="2">
        <v>45304.37809298611</v>
      </c>
      <c r="D180" s="2">
        <v>45304.503537199074</v>
      </c>
      <c r="E180" t="s">
        <v>10</v>
      </c>
      <c r="F180" t="s">
        <v>4</v>
      </c>
      <c r="G180" t="s">
        <v>15</v>
      </c>
      <c r="H180">
        <v>7</v>
      </c>
      <c r="I180">
        <v>1</v>
      </c>
      <c r="J180" t="s">
        <v>49</v>
      </c>
      <c r="K180" t="s">
        <v>43</v>
      </c>
      <c r="L180" t="s">
        <v>89</v>
      </c>
      <c r="M180" t="s">
        <v>275</v>
      </c>
      <c r="N180" t="b">
        <v>0</v>
      </c>
      <c r="O180" t="b">
        <v>0</v>
      </c>
    </row>
    <row r="181" spans="1:15">
      <c r="A181">
        <v>180</v>
      </c>
      <c r="B181" s="1">
        <v>45304.063773148147</v>
      </c>
      <c r="C181" s="2">
        <v>45304.187781539353</v>
      </c>
      <c r="D181" s="2">
        <v>45304.545945266203</v>
      </c>
      <c r="E181" t="s">
        <v>10</v>
      </c>
      <c r="F181" t="s">
        <v>4</v>
      </c>
      <c r="G181" t="s">
        <v>15</v>
      </c>
      <c r="H181">
        <v>5</v>
      </c>
      <c r="I181">
        <v>7</v>
      </c>
      <c r="J181" t="s">
        <v>39</v>
      </c>
      <c r="K181" t="s">
        <v>32</v>
      </c>
      <c r="L181" t="s">
        <v>276</v>
      </c>
      <c r="M181" t="s">
        <v>277</v>
      </c>
      <c r="N181" t="b">
        <v>0</v>
      </c>
      <c r="O181" t="b">
        <v>0</v>
      </c>
    </row>
    <row r="182" spans="1:15">
      <c r="A182">
        <v>181</v>
      </c>
      <c r="B182" s="1">
        <v>45304.065659722219</v>
      </c>
      <c r="C182" s="2">
        <v>45304.679217546298</v>
      </c>
      <c r="D182" s="2">
        <v>45306.568218483793</v>
      </c>
      <c r="E182" t="s">
        <v>11</v>
      </c>
      <c r="F182" t="s">
        <v>2</v>
      </c>
      <c r="G182" t="s">
        <v>16</v>
      </c>
      <c r="H182">
        <v>4</v>
      </c>
      <c r="I182">
        <v>1</v>
      </c>
      <c r="J182" t="s">
        <v>52</v>
      </c>
      <c r="K182" t="s">
        <v>40</v>
      </c>
      <c r="L182" t="s">
        <v>85</v>
      </c>
      <c r="M182" t="s">
        <v>278</v>
      </c>
      <c r="N182" t="b">
        <v>0</v>
      </c>
      <c r="O182" t="b">
        <v>0</v>
      </c>
    </row>
    <row r="183" spans="1:15">
      <c r="A183">
        <v>182</v>
      </c>
      <c r="B183" s="1">
        <v>45304.330960648149</v>
      </c>
      <c r="C183" s="2">
        <v>45304.490715347223</v>
      </c>
      <c r="D183" s="2">
        <v>45306.087529629629</v>
      </c>
      <c r="E183" t="s">
        <v>11</v>
      </c>
      <c r="F183" t="s">
        <v>4</v>
      </c>
      <c r="G183" t="s">
        <v>14</v>
      </c>
      <c r="H183">
        <v>1</v>
      </c>
      <c r="I183">
        <v>7</v>
      </c>
      <c r="J183" t="s">
        <v>49</v>
      </c>
      <c r="K183" t="s">
        <v>71</v>
      </c>
      <c r="L183" t="s">
        <v>192</v>
      </c>
      <c r="M183" t="s">
        <v>279</v>
      </c>
      <c r="N183" t="b">
        <v>0</v>
      </c>
      <c r="O183" t="b">
        <v>0</v>
      </c>
    </row>
    <row r="184" spans="1:15">
      <c r="A184">
        <v>183</v>
      </c>
      <c r="B184" s="1">
        <v>45304.45516203704</v>
      </c>
      <c r="C184" s="2">
        <v>45304.718871435187</v>
      </c>
      <c r="D184" s="2">
        <v>45305.097441307873</v>
      </c>
      <c r="E184" t="s">
        <v>10</v>
      </c>
      <c r="F184" t="s">
        <v>4</v>
      </c>
      <c r="G184" t="s">
        <v>15</v>
      </c>
      <c r="H184">
        <v>6</v>
      </c>
      <c r="I184">
        <v>3</v>
      </c>
      <c r="J184" t="s">
        <v>35</v>
      </c>
      <c r="K184" t="s">
        <v>73</v>
      </c>
      <c r="L184" t="s">
        <v>131</v>
      </c>
      <c r="M184" t="s">
        <v>280</v>
      </c>
      <c r="N184" t="b">
        <v>0</v>
      </c>
      <c r="O184" t="b">
        <v>0</v>
      </c>
    </row>
    <row r="185" spans="1:15">
      <c r="A185">
        <v>184</v>
      </c>
      <c r="B185" s="1">
        <v>45304.543483796297</v>
      </c>
      <c r="C185" s="2">
        <v>45304.665450034721</v>
      </c>
      <c r="E185" t="s">
        <v>11</v>
      </c>
      <c r="F185" t="s">
        <v>3</v>
      </c>
      <c r="G185" t="s">
        <v>16</v>
      </c>
      <c r="H185">
        <v>4</v>
      </c>
      <c r="I185">
        <v>2</v>
      </c>
      <c r="J185" t="s">
        <v>39</v>
      </c>
      <c r="K185" t="s">
        <v>40</v>
      </c>
      <c r="L185" t="s">
        <v>171</v>
      </c>
      <c r="M185" t="s">
        <v>281</v>
      </c>
      <c r="N185" t="b">
        <v>0</v>
      </c>
      <c r="O185" t="b">
        <v>0</v>
      </c>
    </row>
    <row r="186" spans="1:15">
      <c r="A186">
        <v>185</v>
      </c>
      <c r="B186" s="1">
        <v>45304.550428240742</v>
      </c>
      <c r="C186" s="2">
        <v>45304.835710949075</v>
      </c>
      <c r="D186" s="2">
        <v>45304.839796168984</v>
      </c>
      <c r="E186" t="s">
        <v>10</v>
      </c>
      <c r="F186" t="s">
        <v>4</v>
      </c>
      <c r="G186" t="s">
        <v>14</v>
      </c>
      <c r="H186">
        <v>1</v>
      </c>
      <c r="I186">
        <v>1</v>
      </c>
      <c r="J186" t="s">
        <v>31</v>
      </c>
      <c r="K186" t="s">
        <v>71</v>
      </c>
      <c r="L186" t="s">
        <v>174</v>
      </c>
      <c r="M186" t="s">
        <v>282</v>
      </c>
      <c r="N186" t="b">
        <v>0</v>
      </c>
      <c r="O186" t="b">
        <v>0</v>
      </c>
    </row>
    <row r="187" spans="1:15">
      <c r="A187">
        <v>186</v>
      </c>
      <c r="B187" s="1">
        <v>45304.846712962964</v>
      </c>
      <c r="C187" s="2">
        <v>45304.957958530096</v>
      </c>
      <c r="E187" t="s">
        <v>9</v>
      </c>
      <c r="F187" t="s">
        <v>80</v>
      </c>
      <c r="G187" t="s">
        <v>17</v>
      </c>
      <c r="H187">
        <v>2</v>
      </c>
      <c r="I187">
        <v>5</v>
      </c>
      <c r="J187" t="s">
        <v>35</v>
      </c>
      <c r="K187" t="s">
        <v>57</v>
      </c>
      <c r="L187" t="s">
        <v>96</v>
      </c>
      <c r="M187" t="s">
        <v>283</v>
      </c>
      <c r="N187" t="b">
        <v>0</v>
      </c>
      <c r="O187" t="b">
        <v>0</v>
      </c>
    </row>
    <row r="188" spans="1:15">
      <c r="A188">
        <v>187</v>
      </c>
      <c r="B188" s="1">
        <v>45304.853564814817</v>
      </c>
      <c r="C188" s="2">
        <v>45305.662336504633</v>
      </c>
      <c r="D188" s="2">
        <v>45307.609988750002</v>
      </c>
      <c r="E188" t="s">
        <v>11</v>
      </c>
      <c r="F188" t="s">
        <v>4</v>
      </c>
      <c r="G188" t="s">
        <v>15</v>
      </c>
      <c r="H188">
        <v>6</v>
      </c>
      <c r="I188">
        <v>3</v>
      </c>
      <c r="J188" t="s">
        <v>68</v>
      </c>
      <c r="K188" t="s">
        <v>73</v>
      </c>
      <c r="L188" t="s">
        <v>284</v>
      </c>
      <c r="M188" t="s">
        <v>285</v>
      </c>
      <c r="N188" t="b">
        <v>1</v>
      </c>
      <c r="O188" t="b">
        <v>0</v>
      </c>
    </row>
    <row r="189" spans="1:15">
      <c r="A189">
        <v>188</v>
      </c>
      <c r="B189" s="1">
        <v>45304.856400462966</v>
      </c>
      <c r="C189" s="2">
        <v>45304.962501782407</v>
      </c>
      <c r="D189" s="2">
        <v>45305.111583344908</v>
      </c>
      <c r="E189" t="s">
        <v>10</v>
      </c>
      <c r="F189" t="s">
        <v>4</v>
      </c>
      <c r="G189" t="s">
        <v>15</v>
      </c>
      <c r="H189">
        <v>6</v>
      </c>
      <c r="I189">
        <v>5</v>
      </c>
      <c r="J189" t="s">
        <v>52</v>
      </c>
      <c r="K189" t="s">
        <v>73</v>
      </c>
      <c r="L189" t="s">
        <v>93</v>
      </c>
      <c r="M189" t="s">
        <v>286</v>
      </c>
      <c r="N189" t="b">
        <v>0</v>
      </c>
      <c r="O189" t="b">
        <v>0</v>
      </c>
    </row>
    <row r="190" spans="1:15">
      <c r="A190">
        <v>189</v>
      </c>
      <c r="B190" s="1">
        <v>45304.863449074073</v>
      </c>
      <c r="C190" s="2">
        <v>45304.971832569441</v>
      </c>
      <c r="D190" s="2">
        <v>45305.303619155093</v>
      </c>
      <c r="E190" t="s">
        <v>10</v>
      </c>
      <c r="F190" t="s">
        <v>4</v>
      </c>
      <c r="G190" t="s">
        <v>15</v>
      </c>
      <c r="H190">
        <v>4</v>
      </c>
      <c r="I190">
        <v>9</v>
      </c>
      <c r="J190" t="s">
        <v>35</v>
      </c>
      <c r="K190" t="s">
        <v>40</v>
      </c>
      <c r="L190" t="s">
        <v>117</v>
      </c>
      <c r="M190" t="s">
        <v>287</v>
      </c>
      <c r="N190" t="b">
        <v>0</v>
      </c>
      <c r="O190" t="b">
        <v>0</v>
      </c>
    </row>
    <row r="191" spans="1:15">
      <c r="A191">
        <v>190</v>
      </c>
      <c r="B191" s="1">
        <v>45304.864756944444</v>
      </c>
      <c r="C191" s="2">
        <v>45304.978507187501</v>
      </c>
      <c r="D191" s="2">
        <v>45304.988381076386</v>
      </c>
      <c r="E191" t="s">
        <v>9</v>
      </c>
      <c r="F191" t="s">
        <v>2</v>
      </c>
      <c r="G191" t="s">
        <v>17</v>
      </c>
      <c r="H191">
        <v>7</v>
      </c>
      <c r="I191">
        <v>9</v>
      </c>
      <c r="J191" t="s">
        <v>39</v>
      </c>
      <c r="K191" t="s">
        <v>43</v>
      </c>
      <c r="L191" t="s">
        <v>96</v>
      </c>
      <c r="M191" t="s">
        <v>288</v>
      </c>
      <c r="N191" t="b">
        <v>0</v>
      </c>
      <c r="O191" t="b">
        <v>0</v>
      </c>
    </row>
    <row r="192" spans="1:15">
      <c r="A192">
        <v>191</v>
      </c>
      <c r="B192" s="1">
        <v>45305.035312499997</v>
      </c>
      <c r="C192" s="2">
        <v>45305.167916076389</v>
      </c>
      <c r="D192" s="2">
        <v>45305.898767025465</v>
      </c>
      <c r="E192" t="s">
        <v>10</v>
      </c>
      <c r="F192" t="s">
        <v>4</v>
      </c>
      <c r="G192" t="s">
        <v>17</v>
      </c>
      <c r="H192">
        <v>6</v>
      </c>
      <c r="I192">
        <v>8</v>
      </c>
      <c r="J192" t="s">
        <v>39</v>
      </c>
      <c r="K192" t="s">
        <v>73</v>
      </c>
      <c r="L192" t="s">
        <v>96</v>
      </c>
      <c r="M192" t="s">
        <v>289</v>
      </c>
      <c r="N192" t="b">
        <v>0</v>
      </c>
      <c r="O192" t="b">
        <v>0</v>
      </c>
    </row>
    <row r="193" spans="1:15">
      <c r="A193">
        <v>192</v>
      </c>
      <c r="B193" s="1">
        <v>45305.043912037036</v>
      </c>
      <c r="C193" s="2">
        <v>45305.153892939816</v>
      </c>
      <c r="D193" s="2">
        <v>45305.93685096065</v>
      </c>
      <c r="E193" t="s">
        <v>10</v>
      </c>
      <c r="F193" t="s">
        <v>4</v>
      </c>
      <c r="G193" t="s">
        <v>15</v>
      </c>
      <c r="H193">
        <v>5</v>
      </c>
      <c r="I193">
        <v>5</v>
      </c>
      <c r="J193" t="s">
        <v>49</v>
      </c>
      <c r="K193" t="s">
        <v>32</v>
      </c>
      <c r="L193" t="s">
        <v>62</v>
      </c>
      <c r="M193" t="s">
        <v>290</v>
      </c>
      <c r="N193" t="b">
        <v>0</v>
      </c>
      <c r="O193" t="b">
        <v>0</v>
      </c>
    </row>
    <row r="194" spans="1:15">
      <c r="A194">
        <v>193</v>
      </c>
      <c r="B194" s="1">
        <v>45305.049988425926</v>
      </c>
      <c r="C194" s="2">
        <v>45305.127188680555</v>
      </c>
      <c r="D194" s="2">
        <v>45305.75118983796</v>
      </c>
      <c r="E194" t="s">
        <v>10</v>
      </c>
      <c r="F194" t="s">
        <v>4</v>
      </c>
      <c r="G194" t="s">
        <v>15</v>
      </c>
      <c r="H194">
        <v>2</v>
      </c>
      <c r="I194">
        <v>2</v>
      </c>
      <c r="J194" t="s">
        <v>39</v>
      </c>
      <c r="K194" t="s">
        <v>57</v>
      </c>
      <c r="L194" t="s">
        <v>53</v>
      </c>
      <c r="M194" t="s">
        <v>291</v>
      </c>
      <c r="N194" t="b">
        <v>0</v>
      </c>
      <c r="O194" t="b">
        <v>0</v>
      </c>
    </row>
    <row r="195" spans="1:15">
      <c r="A195">
        <v>194</v>
      </c>
      <c r="B195" s="1">
        <v>45305.061689814815</v>
      </c>
      <c r="C195" s="2">
        <v>45305.255557488425</v>
      </c>
      <c r="D195" s="2">
        <v>45305.34194795139</v>
      </c>
      <c r="E195" t="s">
        <v>10</v>
      </c>
      <c r="F195" t="s">
        <v>4</v>
      </c>
      <c r="G195" t="s">
        <v>17</v>
      </c>
      <c r="H195">
        <v>4</v>
      </c>
      <c r="I195">
        <v>5</v>
      </c>
      <c r="J195" t="s">
        <v>49</v>
      </c>
      <c r="K195" t="s">
        <v>40</v>
      </c>
      <c r="L195" t="s">
        <v>37</v>
      </c>
      <c r="M195" t="s">
        <v>292</v>
      </c>
      <c r="N195" t="b">
        <v>0</v>
      </c>
      <c r="O195" t="b">
        <v>0</v>
      </c>
    </row>
    <row r="196" spans="1:15">
      <c r="A196">
        <v>195</v>
      </c>
      <c r="B196" s="1">
        <v>45305.07984953704</v>
      </c>
      <c r="C196" s="2">
        <v>45305.676911793984</v>
      </c>
      <c r="D196" s="2">
        <v>45307.493206909719</v>
      </c>
      <c r="E196" t="s">
        <v>11</v>
      </c>
      <c r="F196" t="s">
        <v>4</v>
      </c>
      <c r="G196" t="s">
        <v>14</v>
      </c>
      <c r="H196">
        <v>7</v>
      </c>
      <c r="I196">
        <v>1</v>
      </c>
      <c r="J196" t="s">
        <v>49</v>
      </c>
      <c r="K196" t="s">
        <v>43</v>
      </c>
      <c r="L196" t="s">
        <v>188</v>
      </c>
      <c r="M196" t="s">
        <v>293</v>
      </c>
      <c r="N196" t="b">
        <v>0</v>
      </c>
      <c r="O196" t="b">
        <v>0</v>
      </c>
    </row>
    <row r="197" spans="1:15">
      <c r="A197">
        <v>196</v>
      </c>
      <c r="B197" s="1">
        <v>45305.087511574071</v>
      </c>
      <c r="C197" s="2">
        <v>45305.482286076389</v>
      </c>
      <c r="D197" s="2">
        <v>45306.810482233799</v>
      </c>
      <c r="E197" t="s">
        <v>11</v>
      </c>
      <c r="F197" t="s">
        <v>4</v>
      </c>
      <c r="G197" t="s">
        <v>15</v>
      </c>
      <c r="H197">
        <v>3</v>
      </c>
      <c r="I197">
        <v>2</v>
      </c>
      <c r="J197" t="s">
        <v>68</v>
      </c>
      <c r="K197" t="s">
        <v>46</v>
      </c>
      <c r="L197" t="s">
        <v>102</v>
      </c>
      <c r="M197" t="s">
        <v>294</v>
      </c>
      <c r="N197" t="b">
        <v>0</v>
      </c>
      <c r="O197" t="b">
        <v>0</v>
      </c>
    </row>
    <row r="198" spans="1:15">
      <c r="A198">
        <v>197</v>
      </c>
      <c r="B198" s="1">
        <v>45305.186215277776</v>
      </c>
      <c r="C198" s="2">
        <v>45305.279964108799</v>
      </c>
      <c r="D198" s="2">
        <v>45305.276469178243</v>
      </c>
      <c r="E198" t="s">
        <v>9</v>
      </c>
      <c r="F198" t="s">
        <v>4</v>
      </c>
      <c r="G198" t="s">
        <v>14</v>
      </c>
      <c r="H198">
        <v>6</v>
      </c>
      <c r="I198">
        <v>4</v>
      </c>
      <c r="J198" t="s">
        <v>31</v>
      </c>
      <c r="K198" t="s">
        <v>73</v>
      </c>
      <c r="L198" t="s">
        <v>110</v>
      </c>
      <c r="M198" t="s">
        <v>295</v>
      </c>
      <c r="N198" t="b">
        <v>0</v>
      </c>
      <c r="O198" t="b">
        <v>0</v>
      </c>
    </row>
    <row r="199" spans="1:15">
      <c r="A199">
        <v>198</v>
      </c>
      <c r="B199" s="1">
        <v>45305.280081018522</v>
      </c>
      <c r="C199" s="2">
        <v>45305.303850150463</v>
      </c>
      <c r="D199" s="2">
        <v>45305.414185381946</v>
      </c>
      <c r="E199" t="s">
        <v>9</v>
      </c>
      <c r="F199" t="s">
        <v>4</v>
      </c>
      <c r="G199" t="s">
        <v>16</v>
      </c>
      <c r="H199">
        <v>7</v>
      </c>
      <c r="I199">
        <v>7</v>
      </c>
      <c r="J199" t="s">
        <v>49</v>
      </c>
      <c r="K199" t="s">
        <v>43</v>
      </c>
      <c r="L199" t="s">
        <v>174</v>
      </c>
      <c r="M199" t="s">
        <v>296</v>
      </c>
      <c r="N199" t="b">
        <v>0</v>
      </c>
      <c r="O199" t="b">
        <v>0</v>
      </c>
    </row>
    <row r="200" spans="1:15">
      <c r="A200">
        <v>199</v>
      </c>
      <c r="B200" s="1">
        <v>45305.286168981482</v>
      </c>
      <c r="C200" s="2">
        <v>45305.481707372688</v>
      </c>
      <c r="D200" s="2">
        <v>45306.165410324073</v>
      </c>
      <c r="E200" t="s">
        <v>10</v>
      </c>
      <c r="F200" t="s">
        <v>4</v>
      </c>
      <c r="G200" t="s">
        <v>14</v>
      </c>
      <c r="H200">
        <v>5</v>
      </c>
      <c r="I200">
        <v>8</v>
      </c>
      <c r="J200" t="s">
        <v>68</v>
      </c>
      <c r="K200" t="s">
        <v>32</v>
      </c>
      <c r="L200" t="s">
        <v>106</v>
      </c>
      <c r="M200" t="s">
        <v>297</v>
      </c>
      <c r="N200" t="b">
        <v>0</v>
      </c>
      <c r="O200" t="b">
        <v>0</v>
      </c>
    </row>
    <row r="201" spans="1:15">
      <c r="A201">
        <v>200</v>
      </c>
      <c r="B201" s="1">
        <v>45305.402418981481</v>
      </c>
      <c r="C201" s="2">
        <v>45305.474350486111</v>
      </c>
      <c r="D201" s="2">
        <v>45305.612794247689</v>
      </c>
      <c r="E201" t="s">
        <v>9</v>
      </c>
      <c r="F201" t="s">
        <v>4</v>
      </c>
      <c r="G201" t="s">
        <v>17</v>
      </c>
      <c r="H201">
        <v>5</v>
      </c>
      <c r="I201">
        <v>7</v>
      </c>
      <c r="J201" t="s">
        <v>49</v>
      </c>
      <c r="K201" t="s">
        <v>32</v>
      </c>
      <c r="L201" t="s">
        <v>66</v>
      </c>
      <c r="M201" t="s">
        <v>298</v>
      </c>
      <c r="N201" t="b">
        <v>0</v>
      </c>
      <c r="O201" t="b">
        <v>0</v>
      </c>
    </row>
    <row r="202" spans="1:15">
      <c r="A202">
        <v>201</v>
      </c>
      <c r="B202" s="1">
        <v>45305.436041666668</v>
      </c>
      <c r="C202" s="2">
        <v>45305.680434907408</v>
      </c>
      <c r="D202" s="2">
        <v>45305.904805289349</v>
      </c>
      <c r="E202" t="s">
        <v>10</v>
      </c>
      <c r="F202" t="s">
        <v>4</v>
      </c>
      <c r="G202" t="s">
        <v>14</v>
      </c>
      <c r="H202">
        <v>2</v>
      </c>
      <c r="I202">
        <v>3</v>
      </c>
      <c r="J202" t="s">
        <v>49</v>
      </c>
      <c r="K202" t="s">
        <v>57</v>
      </c>
      <c r="L202" t="s">
        <v>53</v>
      </c>
      <c r="M202" t="s">
        <v>299</v>
      </c>
      <c r="N202" t="b">
        <v>0</v>
      </c>
      <c r="O202" t="b">
        <v>0</v>
      </c>
    </row>
    <row r="203" spans="1:15">
      <c r="A203">
        <v>202</v>
      </c>
      <c r="B203" s="1">
        <v>45305.687025462961</v>
      </c>
      <c r="C203" s="2">
        <v>45305.782053553237</v>
      </c>
      <c r="D203" s="2">
        <v>45306.275428715278</v>
      </c>
      <c r="E203" t="s">
        <v>10</v>
      </c>
      <c r="F203" t="s">
        <v>2</v>
      </c>
      <c r="G203" t="s">
        <v>14</v>
      </c>
      <c r="H203">
        <v>4</v>
      </c>
      <c r="I203">
        <v>8</v>
      </c>
      <c r="J203" t="s">
        <v>39</v>
      </c>
      <c r="K203" t="s">
        <v>40</v>
      </c>
      <c r="L203" t="s">
        <v>134</v>
      </c>
      <c r="M203" t="s">
        <v>300</v>
      </c>
      <c r="N203" t="b">
        <v>0</v>
      </c>
      <c r="O203" t="b">
        <v>0</v>
      </c>
    </row>
    <row r="204" spans="1:15">
      <c r="A204">
        <v>203</v>
      </c>
      <c r="B204" s="1">
        <v>45305.721770833334</v>
      </c>
      <c r="C204" s="2">
        <v>45306.330132118055</v>
      </c>
      <c r="D204" s="2">
        <v>45308.280528124997</v>
      </c>
      <c r="E204" t="s">
        <v>11</v>
      </c>
      <c r="F204" t="s">
        <v>4</v>
      </c>
      <c r="G204" t="s">
        <v>14</v>
      </c>
      <c r="H204">
        <v>1</v>
      </c>
      <c r="I204">
        <v>10</v>
      </c>
      <c r="J204" t="s">
        <v>39</v>
      </c>
      <c r="K204" t="s">
        <v>71</v>
      </c>
      <c r="L204" t="s">
        <v>89</v>
      </c>
      <c r="M204" t="s">
        <v>301</v>
      </c>
      <c r="N204" t="b">
        <v>0</v>
      </c>
      <c r="O204" t="b">
        <v>0</v>
      </c>
    </row>
    <row r="205" spans="1:15">
      <c r="A205">
        <v>204</v>
      </c>
      <c r="B205" s="1">
        <v>45305.857106481482</v>
      </c>
      <c r="C205" s="2">
        <v>45306.080914189813</v>
      </c>
      <c r="D205" s="2">
        <v>45306.769977372685</v>
      </c>
      <c r="E205" t="s">
        <v>10</v>
      </c>
      <c r="F205" t="s">
        <v>4</v>
      </c>
      <c r="G205" t="s">
        <v>15</v>
      </c>
      <c r="H205">
        <v>1</v>
      </c>
      <c r="I205">
        <v>7</v>
      </c>
      <c r="J205" t="s">
        <v>52</v>
      </c>
      <c r="K205" t="s">
        <v>71</v>
      </c>
      <c r="L205" t="s">
        <v>302</v>
      </c>
      <c r="M205" t="s">
        <v>303</v>
      </c>
      <c r="N205" t="b">
        <v>1</v>
      </c>
      <c r="O205" t="b">
        <v>0</v>
      </c>
    </row>
    <row r="206" spans="1:15">
      <c r="A206">
        <v>205</v>
      </c>
      <c r="B206" s="1">
        <v>45305.928865740738</v>
      </c>
      <c r="C206" s="2">
        <v>45306.575509756942</v>
      </c>
      <c r="D206" s="2">
        <v>45307.518291053238</v>
      </c>
      <c r="E206" t="s">
        <v>11</v>
      </c>
      <c r="F206" t="s">
        <v>2</v>
      </c>
      <c r="G206" t="s">
        <v>15</v>
      </c>
      <c r="H206">
        <v>5</v>
      </c>
      <c r="I206">
        <v>8</v>
      </c>
      <c r="J206" t="s">
        <v>39</v>
      </c>
      <c r="K206" t="s">
        <v>32</v>
      </c>
      <c r="L206" t="s">
        <v>136</v>
      </c>
      <c r="M206" t="s">
        <v>304</v>
      </c>
      <c r="N206" t="b">
        <v>0</v>
      </c>
      <c r="O206" t="b">
        <v>0</v>
      </c>
    </row>
    <row r="207" spans="1:15">
      <c r="A207">
        <v>206</v>
      </c>
      <c r="B207" s="1">
        <v>45305.998645833337</v>
      </c>
      <c r="C207" s="2">
        <v>45306.063266585646</v>
      </c>
      <c r="D207" s="2">
        <v>45306.872764629632</v>
      </c>
      <c r="E207" t="s">
        <v>10</v>
      </c>
      <c r="F207" t="s">
        <v>2</v>
      </c>
      <c r="G207" t="s">
        <v>15</v>
      </c>
      <c r="H207">
        <v>2</v>
      </c>
      <c r="I207">
        <v>9</v>
      </c>
      <c r="J207" t="s">
        <v>35</v>
      </c>
      <c r="K207" t="s">
        <v>57</v>
      </c>
      <c r="L207" t="s">
        <v>110</v>
      </c>
      <c r="M207" t="s">
        <v>305</v>
      </c>
      <c r="N207" t="b">
        <v>0</v>
      </c>
      <c r="O207" t="b">
        <v>0</v>
      </c>
    </row>
    <row r="208" spans="1:15">
      <c r="A208">
        <v>207</v>
      </c>
      <c r="B208" s="1">
        <v>45306.062152777777</v>
      </c>
      <c r="C208" s="2">
        <v>45306.250486435187</v>
      </c>
      <c r="D208" s="2">
        <v>45308.186678113423</v>
      </c>
      <c r="E208" t="s">
        <v>11</v>
      </c>
      <c r="F208" t="s">
        <v>4</v>
      </c>
      <c r="G208" t="s">
        <v>15</v>
      </c>
      <c r="H208">
        <v>3</v>
      </c>
      <c r="I208">
        <v>8</v>
      </c>
      <c r="J208" t="s">
        <v>39</v>
      </c>
      <c r="K208" t="s">
        <v>46</v>
      </c>
      <c r="L208" t="s">
        <v>164</v>
      </c>
      <c r="M208" t="s">
        <v>306</v>
      </c>
      <c r="N208" t="b">
        <v>0</v>
      </c>
      <c r="O208" t="b">
        <v>0</v>
      </c>
    </row>
    <row r="209" spans="1:15">
      <c r="A209">
        <v>208</v>
      </c>
      <c r="B209" s="1">
        <v>45306.093877314815</v>
      </c>
      <c r="C209" s="2">
        <v>45306.185249502312</v>
      </c>
      <c r="D209" s="2">
        <v>45306.524049085645</v>
      </c>
      <c r="E209" t="s">
        <v>10</v>
      </c>
      <c r="F209" t="s">
        <v>4</v>
      </c>
      <c r="G209" t="s">
        <v>14</v>
      </c>
      <c r="H209">
        <v>3</v>
      </c>
      <c r="I209">
        <v>9</v>
      </c>
      <c r="J209" t="s">
        <v>31</v>
      </c>
      <c r="K209" t="s">
        <v>46</v>
      </c>
      <c r="L209" t="s">
        <v>75</v>
      </c>
      <c r="M209" t="s">
        <v>307</v>
      </c>
      <c r="N209" t="b">
        <v>0</v>
      </c>
      <c r="O209" t="b">
        <v>0</v>
      </c>
    </row>
    <row r="210" spans="1:15">
      <c r="A210">
        <v>209</v>
      </c>
      <c r="B210" s="1">
        <v>45306.135208333333</v>
      </c>
      <c r="C210" s="2">
        <v>45306.705180925928</v>
      </c>
      <c r="D210" s="2">
        <v>45307.459026006945</v>
      </c>
      <c r="E210" t="s">
        <v>11</v>
      </c>
      <c r="F210" t="s">
        <v>2</v>
      </c>
      <c r="G210" t="s">
        <v>15</v>
      </c>
      <c r="H210">
        <v>4</v>
      </c>
      <c r="I210">
        <v>3</v>
      </c>
      <c r="J210" t="s">
        <v>39</v>
      </c>
      <c r="K210" t="s">
        <v>40</v>
      </c>
      <c r="L210" t="s">
        <v>158</v>
      </c>
      <c r="M210" t="s">
        <v>308</v>
      </c>
      <c r="N210" t="b">
        <v>0</v>
      </c>
      <c r="O210" t="b">
        <v>0</v>
      </c>
    </row>
    <row r="211" spans="1:15">
      <c r="A211">
        <v>210</v>
      </c>
      <c r="B211" s="1">
        <v>45306.136076388888</v>
      </c>
      <c r="C211" s="2">
        <v>45306.749543634258</v>
      </c>
      <c r="D211" s="2">
        <v>45307.736902199074</v>
      </c>
      <c r="E211" t="s">
        <v>11</v>
      </c>
      <c r="F211" t="s">
        <v>2</v>
      </c>
      <c r="G211" t="s">
        <v>14</v>
      </c>
      <c r="H211">
        <v>6</v>
      </c>
      <c r="I211">
        <v>4</v>
      </c>
      <c r="J211" t="s">
        <v>49</v>
      </c>
      <c r="K211" t="s">
        <v>73</v>
      </c>
      <c r="L211" t="s">
        <v>284</v>
      </c>
      <c r="M211" t="s">
        <v>309</v>
      </c>
      <c r="N211" t="b">
        <v>0</v>
      </c>
      <c r="O211" t="b">
        <v>0</v>
      </c>
    </row>
    <row r="212" spans="1:15">
      <c r="A212">
        <v>211</v>
      </c>
      <c r="B212" s="1">
        <v>45306.23474537037</v>
      </c>
      <c r="C212" s="2">
        <v>45306.527012384257</v>
      </c>
      <c r="D212" s="2">
        <v>45306.736425138886</v>
      </c>
      <c r="E212" t="s">
        <v>10</v>
      </c>
      <c r="F212" t="s">
        <v>4</v>
      </c>
      <c r="G212" t="s">
        <v>17</v>
      </c>
      <c r="H212">
        <v>4</v>
      </c>
      <c r="I212">
        <v>2</v>
      </c>
      <c r="J212" t="s">
        <v>52</v>
      </c>
      <c r="K212" t="s">
        <v>40</v>
      </c>
      <c r="L212" t="s">
        <v>310</v>
      </c>
      <c r="M212" t="s">
        <v>311</v>
      </c>
      <c r="N212" t="b">
        <v>0</v>
      </c>
      <c r="O212" t="b">
        <v>0</v>
      </c>
    </row>
    <row r="213" spans="1:15">
      <c r="A213">
        <v>212</v>
      </c>
      <c r="B213" s="1">
        <v>45306.249652777777</v>
      </c>
      <c r="C213" s="2">
        <v>45306.542308703705</v>
      </c>
      <c r="D213" s="2">
        <v>45306.769654814816</v>
      </c>
      <c r="E213" t="s">
        <v>10</v>
      </c>
      <c r="F213" t="s">
        <v>4</v>
      </c>
      <c r="G213" t="s">
        <v>17</v>
      </c>
      <c r="H213">
        <v>7</v>
      </c>
      <c r="I213">
        <v>2</v>
      </c>
      <c r="J213" t="s">
        <v>49</v>
      </c>
      <c r="K213" t="s">
        <v>43</v>
      </c>
      <c r="L213" t="s">
        <v>89</v>
      </c>
      <c r="M213" t="s">
        <v>312</v>
      </c>
      <c r="N213" t="b">
        <v>0</v>
      </c>
      <c r="O213" t="b">
        <v>0</v>
      </c>
    </row>
    <row r="214" spans="1:15">
      <c r="A214">
        <v>213</v>
      </c>
      <c r="B214" s="1">
        <v>45306.262442129628</v>
      </c>
      <c r="C214" s="2">
        <v>45306.70577896991</v>
      </c>
      <c r="D214" s="2">
        <v>45308.09546290509</v>
      </c>
      <c r="E214" t="s">
        <v>11</v>
      </c>
      <c r="F214" t="s">
        <v>4</v>
      </c>
      <c r="G214" t="s">
        <v>15</v>
      </c>
      <c r="H214">
        <v>4</v>
      </c>
      <c r="I214">
        <v>6</v>
      </c>
      <c r="J214" t="s">
        <v>31</v>
      </c>
      <c r="K214" t="s">
        <v>40</v>
      </c>
      <c r="L214" t="s">
        <v>113</v>
      </c>
      <c r="M214" t="s">
        <v>313</v>
      </c>
      <c r="N214" t="b">
        <v>0</v>
      </c>
      <c r="O214" t="b">
        <v>0</v>
      </c>
    </row>
    <row r="215" spans="1:15">
      <c r="A215">
        <v>214</v>
      </c>
      <c r="B215" s="1">
        <v>45306.350451388891</v>
      </c>
      <c r="C215" s="2">
        <v>45306.475554293982</v>
      </c>
      <c r="E215" t="s">
        <v>10</v>
      </c>
      <c r="F215" t="s">
        <v>80</v>
      </c>
      <c r="G215" t="s">
        <v>15</v>
      </c>
      <c r="H215">
        <v>8</v>
      </c>
      <c r="I215">
        <v>10</v>
      </c>
      <c r="J215" t="s">
        <v>52</v>
      </c>
      <c r="K215" t="s">
        <v>36</v>
      </c>
      <c r="L215" t="s">
        <v>221</v>
      </c>
      <c r="M215" t="s">
        <v>314</v>
      </c>
      <c r="N215" t="b">
        <v>0</v>
      </c>
      <c r="O215" t="b">
        <v>0</v>
      </c>
    </row>
    <row r="216" spans="1:15">
      <c r="A216">
        <v>215</v>
      </c>
      <c r="B216" s="1">
        <v>45306.605729166666</v>
      </c>
      <c r="C216" s="2">
        <v>45306.799825057868</v>
      </c>
      <c r="D216" s="2">
        <v>45306.885667337963</v>
      </c>
      <c r="E216" t="s">
        <v>10</v>
      </c>
      <c r="F216" t="s">
        <v>4</v>
      </c>
      <c r="G216" t="s">
        <v>15</v>
      </c>
      <c r="H216">
        <v>8</v>
      </c>
      <c r="I216">
        <v>3</v>
      </c>
      <c r="J216" t="s">
        <v>49</v>
      </c>
      <c r="K216" t="s">
        <v>36</v>
      </c>
      <c r="L216" t="s">
        <v>110</v>
      </c>
      <c r="M216" t="s">
        <v>315</v>
      </c>
      <c r="N216" t="b">
        <v>0</v>
      </c>
      <c r="O216" t="b">
        <v>0</v>
      </c>
    </row>
    <row r="217" spans="1:15">
      <c r="A217">
        <v>216</v>
      </c>
      <c r="B217" s="1">
        <v>45306.644687499997</v>
      </c>
      <c r="C217" s="2">
        <v>45306.725409456019</v>
      </c>
      <c r="D217" s="2">
        <v>45306.994860462961</v>
      </c>
      <c r="E217" t="s">
        <v>10</v>
      </c>
      <c r="F217" t="s">
        <v>2</v>
      </c>
      <c r="G217" t="s">
        <v>16</v>
      </c>
      <c r="H217">
        <v>4</v>
      </c>
      <c r="I217">
        <v>8</v>
      </c>
      <c r="J217" t="s">
        <v>52</v>
      </c>
      <c r="K217" t="s">
        <v>40</v>
      </c>
      <c r="L217" t="s">
        <v>58</v>
      </c>
      <c r="M217" t="s">
        <v>316</v>
      </c>
      <c r="N217" t="b">
        <v>0</v>
      </c>
      <c r="O217" t="b">
        <v>0</v>
      </c>
    </row>
    <row r="218" spans="1:15">
      <c r="A218">
        <v>217</v>
      </c>
      <c r="B218" s="1">
        <v>45306.659479166665</v>
      </c>
      <c r="C218" s="2">
        <v>45306.905664166668</v>
      </c>
      <c r="D218" s="2">
        <v>45307.665913958335</v>
      </c>
      <c r="E218" t="s">
        <v>11</v>
      </c>
      <c r="F218" t="s">
        <v>4</v>
      </c>
      <c r="G218" t="s">
        <v>15</v>
      </c>
      <c r="H218">
        <v>7</v>
      </c>
      <c r="I218">
        <v>1</v>
      </c>
      <c r="J218" t="s">
        <v>52</v>
      </c>
      <c r="K218" t="s">
        <v>43</v>
      </c>
      <c r="L218" t="s">
        <v>87</v>
      </c>
      <c r="M218" t="s">
        <v>317</v>
      </c>
      <c r="N218" t="b">
        <v>0</v>
      </c>
      <c r="O218" t="b">
        <v>0</v>
      </c>
    </row>
    <row r="219" spans="1:15">
      <c r="A219">
        <v>218</v>
      </c>
      <c r="B219" s="1">
        <v>45306.798043981478</v>
      </c>
      <c r="C219" s="2">
        <v>45306.823211678238</v>
      </c>
      <c r="D219" s="2">
        <v>45306.837868738425</v>
      </c>
      <c r="E219" t="s">
        <v>8</v>
      </c>
      <c r="F219" t="s">
        <v>4</v>
      </c>
      <c r="G219" t="s">
        <v>15</v>
      </c>
      <c r="H219">
        <v>4</v>
      </c>
      <c r="I219">
        <v>10</v>
      </c>
      <c r="J219" t="s">
        <v>52</v>
      </c>
      <c r="K219" t="s">
        <v>40</v>
      </c>
      <c r="L219" t="s">
        <v>85</v>
      </c>
      <c r="M219" t="s">
        <v>318</v>
      </c>
      <c r="N219" t="b">
        <v>1</v>
      </c>
      <c r="O219" t="b">
        <v>0</v>
      </c>
    </row>
    <row r="220" spans="1:15">
      <c r="A220">
        <v>219</v>
      </c>
      <c r="B220" s="1">
        <v>45306.814363425925</v>
      </c>
      <c r="C220" s="2">
        <v>45307.057765648147</v>
      </c>
      <c r="D220" s="2">
        <v>45307.161204328702</v>
      </c>
      <c r="E220" t="s">
        <v>10</v>
      </c>
      <c r="F220" t="s">
        <v>4</v>
      </c>
      <c r="G220" t="s">
        <v>15</v>
      </c>
      <c r="H220">
        <v>8</v>
      </c>
      <c r="I220">
        <v>6</v>
      </c>
      <c r="J220" t="s">
        <v>35</v>
      </c>
      <c r="K220" t="s">
        <v>36</v>
      </c>
      <c r="L220" t="s">
        <v>188</v>
      </c>
      <c r="M220" t="s">
        <v>319</v>
      </c>
      <c r="N220" t="b">
        <v>0</v>
      </c>
      <c r="O220" t="b">
        <v>0</v>
      </c>
    </row>
    <row r="221" spans="1:15">
      <c r="A221">
        <v>220</v>
      </c>
      <c r="B221" s="1">
        <v>45306.946701388886</v>
      </c>
      <c r="C221" s="2">
        <v>45307.010437199075</v>
      </c>
      <c r="D221" s="2">
        <v>45307.315046122683</v>
      </c>
      <c r="E221" t="s">
        <v>10</v>
      </c>
      <c r="F221" t="s">
        <v>4</v>
      </c>
      <c r="G221" t="s">
        <v>17</v>
      </c>
      <c r="H221">
        <v>7</v>
      </c>
      <c r="I221">
        <v>5</v>
      </c>
      <c r="J221" t="s">
        <v>49</v>
      </c>
      <c r="K221" t="s">
        <v>43</v>
      </c>
      <c r="L221" t="s">
        <v>60</v>
      </c>
      <c r="M221" t="s">
        <v>320</v>
      </c>
      <c r="N221" t="b">
        <v>0</v>
      </c>
      <c r="O221" t="b">
        <v>0</v>
      </c>
    </row>
    <row r="222" spans="1:15">
      <c r="A222">
        <v>221</v>
      </c>
      <c r="B222" s="1">
        <v>45306.991620370369</v>
      </c>
      <c r="C222" s="2">
        <v>45307.283994328704</v>
      </c>
      <c r="D222" s="2">
        <v>45307.871397106479</v>
      </c>
      <c r="E222" t="s">
        <v>10</v>
      </c>
      <c r="F222" t="s">
        <v>4</v>
      </c>
      <c r="G222" t="s">
        <v>17</v>
      </c>
      <c r="H222">
        <v>3</v>
      </c>
      <c r="I222">
        <v>4</v>
      </c>
      <c r="J222" t="s">
        <v>68</v>
      </c>
      <c r="K222" t="s">
        <v>46</v>
      </c>
      <c r="L222" t="s">
        <v>253</v>
      </c>
      <c r="M222" t="s">
        <v>321</v>
      </c>
      <c r="N222" t="b">
        <v>0</v>
      </c>
      <c r="O222" t="b">
        <v>0</v>
      </c>
    </row>
    <row r="223" spans="1:15">
      <c r="A223">
        <v>222</v>
      </c>
      <c r="B223" s="1">
        <v>45307.073599537034</v>
      </c>
      <c r="C223" s="2">
        <v>45307.179550266206</v>
      </c>
      <c r="D223" s="2">
        <v>45309.653702696756</v>
      </c>
      <c r="E223" t="s">
        <v>11</v>
      </c>
      <c r="F223" t="s">
        <v>2</v>
      </c>
      <c r="G223" t="s">
        <v>16</v>
      </c>
      <c r="H223">
        <v>3</v>
      </c>
      <c r="I223">
        <v>10</v>
      </c>
      <c r="J223" t="s">
        <v>52</v>
      </c>
      <c r="K223" t="s">
        <v>46</v>
      </c>
      <c r="L223" t="s">
        <v>55</v>
      </c>
      <c r="M223" t="s">
        <v>322</v>
      </c>
      <c r="N223" t="b">
        <v>0</v>
      </c>
      <c r="O223" t="b">
        <v>0</v>
      </c>
    </row>
    <row r="224" spans="1:15">
      <c r="A224">
        <v>223</v>
      </c>
      <c r="B224" s="1">
        <v>45307.1328125</v>
      </c>
      <c r="C224" s="2">
        <v>45307.456118217589</v>
      </c>
      <c r="D224" s="2">
        <v>45307.692656597224</v>
      </c>
      <c r="E224" t="s">
        <v>10</v>
      </c>
      <c r="F224" t="s">
        <v>4</v>
      </c>
      <c r="G224" t="s">
        <v>15</v>
      </c>
      <c r="H224">
        <v>8</v>
      </c>
      <c r="I224">
        <v>5</v>
      </c>
      <c r="J224" t="s">
        <v>39</v>
      </c>
      <c r="K224" t="s">
        <v>36</v>
      </c>
      <c r="L224" t="s">
        <v>171</v>
      </c>
      <c r="M224" t="s">
        <v>323</v>
      </c>
      <c r="N224" t="b">
        <v>0</v>
      </c>
      <c r="O224" t="b">
        <v>0</v>
      </c>
    </row>
    <row r="225" spans="1:15">
      <c r="A225">
        <v>224</v>
      </c>
      <c r="B225" s="1">
        <v>45307.174502314818</v>
      </c>
      <c r="C225" s="2">
        <v>45307.224111238429</v>
      </c>
      <c r="D225" s="2">
        <v>45307.80992659722</v>
      </c>
      <c r="E225" t="s">
        <v>10</v>
      </c>
      <c r="F225" t="s">
        <v>4</v>
      </c>
      <c r="G225" t="s">
        <v>15</v>
      </c>
      <c r="H225">
        <v>5</v>
      </c>
      <c r="I225">
        <v>2</v>
      </c>
      <c r="J225" t="s">
        <v>49</v>
      </c>
      <c r="K225" t="s">
        <v>32</v>
      </c>
      <c r="L225" t="s">
        <v>106</v>
      </c>
      <c r="M225" t="s">
        <v>324</v>
      </c>
      <c r="N225" t="b">
        <v>0</v>
      </c>
      <c r="O225" t="b">
        <v>0</v>
      </c>
    </row>
    <row r="226" spans="1:15">
      <c r="A226">
        <v>225</v>
      </c>
      <c r="B226" s="1">
        <v>45307.175949074073</v>
      </c>
      <c r="C226" s="2">
        <v>45307.456377997682</v>
      </c>
      <c r="E226" t="s">
        <v>10</v>
      </c>
      <c r="F226" t="s">
        <v>80</v>
      </c>
      <c r="G226" t="s">
        <v>14</v>
      </c>
      <c r="H226">
        <v>6</v>
      </c>
      <c r="I226">
        <v>6</v>
      </c>
      <c r="J226" t="s">
        <v>52</v>
      </c>
      <c r="K226" t="s">
        <v>73</v>
      </c>
      <c r="L226" t="s">
        <v>102</v>
      </c>
      <c r="M226" t="s">
        <v>325</v>
      </c>
      <c r="N226" t="b">
        <v>0</v>
      </c>
      <c r="O226" t="b">
        <v>0</v>
      </c>
    </row>
    <row r="227" spans="1:15">
      <c r="A227">
        <v>226</v>
      </c>
      <c r="B227" s="1">
        <v>45307.275000000001</v>
      </c>
      <c r="C227" s="2">
        <v>45307.402079965279</v>
      </c>
      <c r="D227" s="2">
        <v>45307.696474965276</v>
      </c>
      <c r="E227" t="s">
        <v>10</v>
      </c>
      <c r="F227" t="s">
        <v>4</v>
      </c>
      <c r="G227" t="s">
        <v>15</v>
      </c>
      <c r="H227">
        <v>6</v>
      </c>
      <c r="I227">
        <v>6</v>
      </c>
      <c r="J227" t="s">
        <v>31</v>
      </c>
      <c r="K227" t="s">
        <v>73</v>
      </c>
      <c r="L227" t="s">
        <v>179</v>
      </c>
      <c r="M227" t="s">
        <v>326</v>
      </c>
      <c r="N227" t="b">
        <v>0</v>
      </c>
      <c r="O227" t="b">
        <v>0</v>
      </c>
    </row>
    <row r="228" spans="1:15">
      <c r="A228">
        <v>227</v>
      </c>
      <c r="B228" s="1">
        <v>45307.278749999998</v>
      </c>
      <c r="C228" s="2">
        <v>45308.094108206016</v>
      </c>
      <c r="D228" s="2">
        <v>45309.151054050926</v>
      </c>
      <c r="E228" t="s">
        <v>11</v>
      </c>
      <c r="F228" t="s">
        <v>2</v>
      </c>
      <c r="G228" t="s">
        <v>15</v>
      </c>
      <c r="H228">
        <v>2</v>
      </c>
      <c r="I228">
        <v>8</v>
      </c>
      <c r="J228" t="s">
        <v>35</v>
      </c>
      <c r="K228" t="s">
        <v>57</v>
      </c>
      <c r="L228" t="s">
        <v>104</v>
      </c>
      <c r="M228" t="s">
        <v>327</v>
      </c>
      <c r="N228" t="b">
        <v>0</v>
      </c>
      <c r="O228" t="b">
        <v>0</v>
      </c>
    </row>
    <row r="229" spans="1:15">
      <c r="A229">
        <v>228</v>
      </c>
      <c r="B229" s="1">
        <v>45307.300462962965</v>
      </c>
      <c r="C229" s="2">
        <v>45307.423399467596</v>
      </c>
      <c r="D229" s="2">
        <v>45307.61802115741</v>
      </c>
      <c r="E229" t="s">
        <v>9</v>
      </c>
      <c r="F229" t="s">
        <v>4</v>
      </c>
      <c r="G229" t="s">
        <v>16</v>
      </c>
      <c r="H229">
        <v>2</v>
      </c>
      <c r="I229">
        <v>5</v>
      </c>
      <c r="J229" t="s">
        <v>49</v>
      </c>
      <c r="K229" t="s">
        <v>57</v>
      </c>
      <c r="L229" t="s">
        <v>113</v>
      </c>
      <c r="M229" t="s">
        <v>328</v>
      </c>
      <c r="N229" t="b">
        <v>1</v>
      </c>
      <c r="O229" t="b">
        <v>0</v>
      </c>
    </row>
    <row r="230" spans="1:15">
      <c r="A230">
        <v>229</v>
      </c>
      <c r="B230" s="1">
        <v>45307.420277777775</v>
      </c>
      <c r="C230" s="2">
        <v>45307.560115567132</v>
      </c>
      <c r="D230" s="2">
        <v>45309.325918449074</v>
      </c>
      <c r="E230" t="s">
        <v>11</v>
      </c>
      <c r="F230" t="s">
        <v>4</v>
      </c>
      <c r="G230" t="s">
        <v>17</v>
      </c>
      <c r="H230">
        <v>8</v>
      </c>
      <c r="I230">
        <v>3</v>
      </c>
      <c r="J230" t="s">
        <v>35</v>
      </c>
      <c r="K230" t="s">
        <v>36</v>
      </c>
      <c r="L230" t="s">
        <v>127</v>
      </c>
      <c r="M230" t="s">
        <v>329</v>
      </c>
      <c r="N230" t="b">
        <v>0</v>
      </c>
      <c r="O230" t="b">
        <v>0</v>
      </c>
    </row>
    <row r="231" spans="1:15">
      <c r="A231">
        <v>230</v>
      </c>
      <c r="B231" s="1">
        <v>45307.44604166667</v>
      </c>
      <c r="C231" s="2">
        <v>45307.743148796297</v>
      </c>
      <c r="D231" s="2">
        <v>45307.925423576387</v>
      </c>
      <c r="E231" t="s">
        <v>10</v>
      </c>
      <c r="F231" t="s">
        <v>4</v>
      </c>
      <c r="G231" t="s">
        <v>17</v>
      </c>
      <c r="H231">
        <v>3</v>
      </c>
      <c r="I231">
        <v>1</v>
      </c>
      <c r="J231" t="s">
        <v>39</v>
      </c>
      <c r="K231" t="s">
        <v>46</v>
      </c>
      <c r="L231" t="s">
        <v>302</v>
      </c>
      <c r="M231" t="s">
        <v>330</v>
      </c>
      <c r="N231" t="b">
        <v>0</v>
      </c>
      <c r="O231" t="b">
        <v>0</v>
      </c>
    </row>
    <row r="232" spans="1:15">
      <c r="A232">
        <v>231</v>
      </c>
      <c r="B232" s="1">
        <v>45307.466805555552</v>
      </c>
      <c r="C232" s="2">
        <v>45307.650404270833</v>
      </c>
      <c r="E232" t="s">
        <v>11</v>
      </c>
      <c r="F232" t="s">
        <v>80</v>
      </c>
      <c r="G232" t="s">
        <v>16</v>
      </c>
      <c r="H232">
        <v>7</v>
      </c>
      <c r="I232">
        <v>10</v>
      </c>
      <c r="J232" t="s">
        <v>49</v>
      </c>
      <c r="K232" t="s">
        <v>43</v>
      </c>
      <c r="L232" t="s">
        <v>102</v>
      </c>
      <c r="M232" t="s">
        <v>331</v>
      </c>
      <c r="N232" t="b">
        <v>1</v>
      </c>
      <c r="O232" t="b">
        <v>0</v>
      </c>
    </row>
    <row r="233" spans="1:15">
      <c r="A233">
        <v>232</v>
      </c>
      <c r="B233" s="1">
        <v>45307.572280092594</v>
      </c>
      <c r="C233" s="2">
        <v>45307.776102037038</v>
      </c>
      <c r="D233" s="2">
        <v>45307.826133263887</v>
      </c>
      <c r="E233" t="s">
        <v>10</v>
      </c>
      <c r="F233" t="s">
        <v>4</v>
      </c>
      <c r="G233" t="s">
        <v>15</v>
      </c>
      <c r="H233">
        <v>3</v>
      </c>
      <c r="I233">
        <v>2</v>
      </c>
      <c r="J233" t="s">
        <v>39</v>
      </c>
      <c r="K233" t="s">
        <v>46</v>
      </c>
      <c r="L233" t="s">
        <v>47</v>
      </c>
      <c r="M233" t="s">
        <v>332</v>
      </c>
      <c r="N233" t="b">
        <v>0</v>
      </c>
      <c r="O233" t="b">
        <v>0</v>
      </c>
    </row>
    <row r="234" spans="1:15">
      <c r="A234">
        <v>233</v>
      </c>
      <c r="B234" s="1">
        <v>45307.632349537038</v>
      </c>
      <c r="C234" s="2">
        <v>45307.797313194445</v>
      </c>
      <c r="D234" s="2">
        <v>45308.191134525463</v>
      </c>
      <c r="E234" t="s">
        <v>10</v>
      </c>
      <c r="F234" t="s">
        <v>4</v>
      </c>
      <c r="G234" t="s">
        <v>15</v>
      </c>
      <c r="H234">
        <v>7</v>
      </c>
      <c r="I234">
        <v>4</v>
      </c>
      <c r="J234" t="s">
        <v>68</v>
      </c>
      <c r="K234" t="s">
        <v>43</v>
      </c>
      <c r="L234" t="s">
        <v>136</v>
      </c>
      <c r="M234" t="s">
        <v>333</v>
      </c>
      <c r="N234" t="b">
        <v>0</v>
      </c>
      <c r="O234" t="b">
        <v>0</v>
      </c>
    </row>
    <row r="235" spans="1:15">
      <c r="A235">
        <v>234</v>
      </c>
      <c r="B235" s="1">
        <v>45307.686469907407</v>
      </c>
      <c r="C235" s="2">
        <v>45307.747635023145</v>
      </c>
      <c r="E235" t="s">
        <v>9</v>
      </c>
      <c r="F235" t="s">
        <v>80</v>
      </c>
      <c r="G235" t="s">
        <v>15</v>
      </c>
      <c r="H235">
        <v>5</v>
      </c>
      <c r="I235">
        <v>2</v>
      </c>
      <c r="J235" t="s">
        <v>39</v>
      </c>
      <c r="K235" t="s">
        <v>32</v>
      </c>
      <c r="L235" t="s">
        <v>136</v>
      </c>
      <c r="M235" t="s">
        <v>334</v>
      </c>
      <c r="N235" t="b">
        <v>0</v>
      </c>
      <c r="O235" t="b">
        <v>0</v>
      </c>
    </row>
    <row r="236" spans="1:15">
      <c r="A236">
        <v>235</v>
      </c>
      <c r="B236" s="1">
        <v>45307.734664351854</v>
      </c>
      <c r="C236" s="2">
        <v>45308.412150578704</v>
      </c>
      <c r="D236" s="2">
        <v>45308.716070196759</v>
      </c>
      <c r="E236" t="s">
        <v>11</v>
      </c>
      <c r="F236" t="s">
        <v>4</v>
      </c>
      <c r="G236" t="s">
        <v>15</v>
      </c>
      <c r="H236">
        <v>1</v>
      </c>
      <c r="I236">
        <v>3</v>
      </c>
      <c r="J236" t="s">
        <v>31</v>
      </c>
      <c r="K236" t="s">
        <v>71</v>
      </c>
      <c r="L236" t="s">
        <v>153</v>
      </c>
      <c r="M236" t="s">
        <v>335</v>
      </c>
      <c r="N236" t="b">
        <v>0</v>
      </c>
      <c r="O236" t="b">
        <v>0</v>
      </c>
    </row>
    <row r="237" spans="1:15">
      <c r="A237">
        <v>236</v>
      </c>
      <c r="B237" s="1">
        <v>45307.788738425923</v>
      </c>
      <c r="C237" s="2">
        <v>45308.151792245371</v>
      </c>
      <c r="D237" s="2">
        <v>45309.519675138887</v>
      </c>
      <c r="E237" t="s">
        <v>11</v>
      </c>
      <c r="F237" t="s">
        <v>4</v>
      </c>
      <c r="G237" t="s">
        <v>17</v>
      </c>
      <c r="H237">
        <v>3</v>
      </c>
      <c r="I237">
        <v>1</v>
      </c>
      <c r="J237" t="s">
        <v>31</v>
      </c>
      <c r="K237" t="s">
        <v>46</v>
      </c>
      <c r="L237" t="s">
        <v>41</v>
      </c>
      <c r="M237" t="s">
        <v>336</v>
      </c>
      <c r="N237" t="b">
        <v>0</v>
      </c>
      <c r="O237" t="b">
        <v>0</v>
      </c>
    </row>
    <row r="238" spans="1:15">
      <c r="A238">
        <v>237</v>
      </c>
      <c r="B238" s="1">
        <v>45307.829884259256</v>
      </c>
      <c r="C238" s="2">
        <v>45307.991723310188</v>
      </c>
      <c r="D238" s="2">
        <v>45308.641186111112</v>
      </c>
      <c r="E238" t="s">
        <v>10</v>
      </c>
      <c r="F238" t="s">
        <v>4</v>
      </c>
      <c r="G238" t="s">
        <v>14</v>
      </c>
      <c r="H238">
        <v>8</v>
      </c>
      <c r="I238">
        <v>4</v>
      </c>
      <c r="J238" t="s">
        <v>35</v>
      </c>
      <c r="K238" t="s">
        <v>36</v>
      </c>
      <c r="L238" t="s">
        <v>78</v>
      </c>
      <c r="M238" t="s">
        <v>337</v>
      </c>
      <c r="N238" t="b">
        <v>0</v>
      </c>
      <c r="O238" t="b">
        <v>0</v>
      </c>
    </row>
    <row r="239" spans="1:15">
      <c r="A239">
        <v>238</v>
      </c>
      <c r="B239" s="1">
        <v>45307.890520833331</v>
      </c>
      <c r="C239" s="2">
        <v>45308.560339965275</v>
      </c>
      <c r="D239" s="2">
        <v>45309.68789577546</v>
      </c>
      <c r="E239" t="s">
        <v>11</v>
      </c>
      <c r="F239" t="s">
        <v>4</v>
      </c>
      <c r="G239" t="s">
        <v>16</v>
      </c>
      <c r="H239">
        <v>2</v>
      </c>
      <c r="I239">
        <v>10</v>
      </c>
      <c r="J239" t="s">
        <v>39</v>
      </c>
      <c r="K239" t="s">
        <v>57</v>
      </c>
      <c r="L239" t="s">
        <v>164</v>
      </c>
      <c r="M239" t="s">
        <v>338</v>
      </c>
      <c r="N239" t="b">
        <v>0</v>
      </c>
      <c r="O239" t="b">
        <v>0</v>
      </c>
    </row>
    <row r="240" spans="1:15">
      <c r="A240">
        <v>239</v>
      </c>
      <c r="B240" s="1">
        <v>45307.94866898148</v>
      </c>
      <c r="C240" s="2">
        <v>45308.240044016202</v>
      </c>
      <c r="D240" s="2">
        <v>45308.797143252312</v>
      </c>
      <c r="E240" t="s">
        <v>10</v>
      </c>
      <c r="F240" t="s">
        <v>4</v>
      </c>
      <c r="G240" t="s">
        <v>14</v>
      </c>
      <c r="H240">
        <v>2</v>
      </c>
      <c r="I240">
        <v>3</v>
      </c>
      <c r="J240" t="s">
        <v>52</v>
      </c>
      <c r="K240" t="s">
        <v>57</v>
      </c>
      <c r="L240" t="s">
        <v>87</v>
      </c>
      <c r="M240" t="s">
        <v>339</v>
      </c>
      <c r="N240" t="b">
        <v>0</v>
      </c>
      <c r="O240" t="b">
        <v>0</v>
      </c>
    </row>
    <row r="241" spans="1:15">
      <c r="A241">
        <v>240</v>
      </c>
      <c r="B241" s="1">
        <v>45308.065648148149</v>
      </c>
      <c r="C241" s="2">
        <v>45308.364783634257</v>
      </c>
      <c r="D241" s="2">
        <v>45308.398644293979</v>
      </c>
      <c r="E241" t="s">
        <v>10</v>
      </c>
      <c r="F241" t="s">
        <v>4</v>
      </c>
      <c r="G241" t="s">
        <v>16</v>
      </c>
      <c r="H241">
        <v>2</v>
      </c>
      <c r="I241">
        <v>10</v>
      </c>
      <c r="J241" t="s">
        <v>49</v>
      </c>
      <c r="K241" t="s">
        <v>57</v>
      </c>
      <c r="L241" t="s">
        <v>106</v>
      </c>
      <c r="M241" t="s">
        <v>340</v>
      </c>
      <c r="N241" t="b">
        <v>0</v>
      </c>
      <c r="O241" t="b">
        <v>0</v>
      </c>
    </row>
    <row r="242" spans="1:15">
      <c r="A242">
        <v>241</v>
      </c>
      <c r="B242" s="1">
        <v>45308.153935185182</v>
      </c>
      <c r="C242" s="2">
        <v>45308.252114884257</v>
      </c>
      <c r="D242" s="2">
        <v>45309.735807152778</v>
      </c>
      <c r="E242" t="s">
        <v>11</v>
      </c>
      <c r="F242" t="s">
        <v>4</v>
      </c>
      <c r="G242" t="s">
        <v>17</v>
      </c>
      <c r="H242">
        <v>5</v>
      </c>
      <c r="I242">
        <v>7</v>
      </c>
      <c r="J242" t="s">
        <v>35</v>
      </c>
      <c r="K242" t="s">
        <v>32</v>
      </c>
      <c r="L242" t="s">
        <v>250</v>
      </c>
      <c r="M242" t="s">
        <v>341</v>
      </c>
      <c r="N242" t="b">
        <v>0</v>
      </c>
      <c r="O242" t="b">
        <v>0</v>
      </c>
    </row>
    <row r="243" spans="1:15">
      <c r="A243">
        <v>242</v>
      </c>
      <c r="B243" s="1">
        <v>45308.193969907406</v>
      </c>
      <c r="C243" s="2">
        <v>45308.299859155093</v>
      </c>
      <c r="D243" s="2">
        <v>45308.430889513889</v>
      </c>
      <c r="E243" t="s">
        <v>9</v>
      </c>
      <c r="F243" t="s">
        <v>4</v>
      </c>
      <c r="G243" t="s">
        <v>15</v>
      </c>
      <c r="H243">
        <v>7</v>
      </c>
      <c r="I243">
        <v>9</v>
      </c>
      <c r="J243" t="s">
        <v>39</v>
      </c>
      <c r="K243" t="s">
        <v>43</v>
      </c>
      <c r="L243" t="s">
        <v>102</v>
      </c>
      <c r="M243" t="s">
        <v>342</v>
      </c>
      <c r="N243" t="b">
        <v>0</v>
      </c>
      <c r="O243" t="b">
        <v>0</v>
      </c>
    </row>
    <row r="244" spans="1:15">
      <c r="A244">
        <v>243</v>
      </c>
      <c r="B244" s="1">
        <v>45308.256388888891</v>
      </c>
      <c r="C244" s="2">
        <v>45308.891239143515</v>
      </c>
      <c r="D244" s="2">
        <v>45309.085870358795</v>
      </c>
      <c r="E244" t="s">
        <v>11</v>
      </c>
      <c r="F244" t="s">
        <v>4</v>
      </c>
      <c r="G244" t="s">
        <v>15</v>
      </c>
      <c r="H244">
        <v>8</v>
      </c>
      <c r="I244">
        <v>7</v>
      </c>
      <c r="J244" t="s">
        <v>31</v>
      </c>
      <c r="K244" t="s">
        <v>36</v>
      </c>
      <c r="L244" t="s">
        <v>104</v>
      </c>
      <c r="M244" t="s">
        <v>343</v>
      </c>
      <c r="N244" t="b">
        <v>0</v>
      </c>
      <c r="O244" t="b">
        <v>0</v>
      </c>
    </row>
    <row r="245" spans="1:15">
      <c r="A245">
        <v>244</v>
      </c>
      <c r="B245" s="1">
        <v>45308.436585648145</v>
      </c>
      <c r="C245" s="2">
        <v>45308.633120405095</v>
      </c>
      <c r="D245" s="2">
        <v>45310.849377060185</v>
      </c>
      <c r="E245" t="s">
        <v>11</v>
      </c>
      <c r="F245" t="s">
        <v>4</v>
      </c>
      <c r="G245" t="s">
        <v>17</v>
      </c>
      <c r="H245">
        <v>8</v>
      </c>
      <c r="I245">
        <v>10</v>
      </c>
      <c r="J245" t="s">
        <v>49</v>
      </c>
      <c r="K245" t="s">
        <v>36</v>
      </c>
      <c r="L245" t="s">
        <v>78</v>
      </c>
      <c r="M245" t="s">
        <v>344</v>
      </c>
      <c r="N245" t="b">
        <v>0</v>
      </c>
      <c r="O245" t="b">
        <v>0</v>
      </c>
    </row>
    <row r="246" spans="1:15">
      <c r="A246">
        <v>245</v>
      </c>
      <c r="B246" s="1">
        <v>45308.498541666668</v>
      </c>
      <c r="C246" s="2">
        <v>45308.699529861115</v>
      </c>
      <c r="D246" s="2">
        <v>45310.930549293982</v>
      </c>
      <c r="E246" t="s">
        <v>11</v>
      </c>
      <c r="F246" t="s">
        <v>2</v>
      </c>
      <c r="G246" t="s">
        <v>15</v>
      </c>
      <c r="H246">
        <v>8</v>
      </c>
      <c r="I246">
        <v>6</v>
      </c>
      <c r="J246" t="s">
        <v>31</v>
      </c>
      <c r="K246" t="s">
        <v>36</v>
      </c>
      <c r="L246" t="s">
        <v>192</v>
      </c>
      <c r="M246" t="s">
        <v>345</v>
      </c>
      <c r="N246" t="b">
        <v>0</v>
      </c>
      <c r="O246" t="b">
        <v>0</v>
      </c>
    </row>
    <row r="247" spans="1:15">
      <c r="A247">
        <v>246</v>
      </c>
      <c r="B247" s="1">
        <v>45308.537870370368</v>
      </c>
      <c r="C247" s="2">
        <v>45309.196971296296</v>
      </c>
      <c r="D247" s="2">
        <v>45309.895676030093</v>
      </c>
      <c r="E247" t="s">
        <v>11</v>
      </c>
      <c r="F247" t="s">
        <v>4</v>
      </c>
      <c r="G247" t="s">
        <v>15</v>
      </c>
      <c r="H247">
        <v>8</v>
      </c>
      <c r="I247">
        <v>9</v>
      </c>
      <c r="J247" t="s">
        <v>68</v>
      </c>
      <c r="K247" t="s">
        <v>36</v>
      </c>
      <c r="L247" t="s">
        <v>179</v>
      </c>
      <c r="M247" t="s">
        <v>346</v>
      </c>
      <c r="N247" t="b">
        <v>0</v>
      </c>
      <c r="O247" t="b">
        <v>0</v>
      </c>
    </row>
    <row r="248" spans="1:15">
      <c r="A248">
        <v>247</v>
      </c>
      <c r="B248" s="1">
        <v>45308.540891203702</v>
      </c>
      <c r="C248" s="2">
        <v>45308.873007106478</v>
      </c>
      <c r="D248" s="2">
        <v>45309.230958229164</v>
      </c>
      <c r="E248" t="s">
        <v>10</v>
      </c>
      <c r="F248" t="s">
        <v>4</v>
      </c>
      <c r="G248" t="s">
        <v>16</v>
      </c>
      <c r="H248">
        <v>5</v>
      </c>
      <c r="I248">
        <v>1</v>
      </c>
      <c r="J248" t="s">
        <v>52</v>
      </c>
      <c r="K248" t="s">
        <v>32</v>
      </c>
      <c r="L248" t="s">
        <v>47</v>
      </c>
      <c r="M248" t="s">
        <v>347</v>
      </c>
      <c r="N248" t="b">
        <v>0</v>
      </c>
      <c r="O248" t="b">
        <v>0</v>
      </c>
    </row>
    <row r="249" spans="1:15">
      <c r="A249">
        <v>248</v>
      </c>
      <c r="B249" s="1">
        <v>45308.562384259261</v>
      </c>
      <c r="C249" s="2">
        <v>45308.723517152779</v>
      </c>
      <c r="D249" s="2">
        <v>45309.019925844907</v>
      </c>
      <c r="E249" t="s">
        <v>10</v>
      </c>
      <c r="F249" t="s">
        <v>4</v>
      </c>
      <c r="G249" t="s">
        <v>15</v>
      </c>
      <c r="H249">
        <v>7</v>
      </c>
      <c r="I249">
        <v>10</v>
      </c>
      <c r="J249" t="s">
        <v>39</v>
      </c>
      <c r="K249" t="s">
        <v>43</v>
      </c>
      <c r="L249" t="s">
        <v>310</v>
      </c>
      <c r="M249" t="s">
        <v>348</v>
      </c>
      <c r="N249" t="b">
        <v>0</v>
      </c>
      <c r="O249" t="b">
        <v>0</v>
      </c>
    </row>
    <row r="250" spans="1:15">
      <c r="A250">
        <v>249</v>
      </c>
      <c r="B250" s="1">
        <v>45308.640081018515</v>
      </c>
      <c r="C250" s="2">
        <v>45308.717972777777</v>
      </c>
      <c r="D250" s="2">
        <v>45308.869654097223</v>
      </c>
      <c r="E250" t="s">
        <v>9</v>
      </c>
      <c r="F250" t="s">
        <v>4</v>
      </c>
      <c r="G250" t="s">
        <v>14</v>
      </c>
      <c r="H250">
        <v>6</v>
      </c>
      <c r="I250">
        <v>1</v>
      </c>
      <c r="J250" t="s">
        <v>49</v>
      </c>
      <c r="K250" t="s">
        <v>73</v>
      </c>
      <c r="L250" t="s">
        <v>153</v>
      </c>
      <c r="M250" t="s">
        <v>349</v>
      </c>
      <c r="N250" t="b">
        <v>0</v>
      </c>
      <c r="O250" t="b">
        <v>0</v>
      </c>
    </row>
    <row r="251" spans="1:15">
      <c r="A251">
        <v>250</v>
      </c>
      <c r="B251" s="1">
        <v>45308.737395833334</v>
      </c>
      <c r="C251" s="2">
        <v>45309.18266791667</v>
      </c>
      <c r="D251" s="2">
        <v>45311.392509710648</v>
      </c>
      <c r="E251" t="s">
        <v>11</v>
      </c>
      <c r="F251" t="s">
        <v>4</v>
      </c>
      <c r="G251" t="s">
        <v>15</v>
      </c>
      <c r="H251">
        <v>2</v>
      </c>
      <c r="I251">
        <v>2</v>
      </c>
      <c r="J251" t="s">
        <v>68</v>
      </c>
      <c r="K251" t="s">
        <v>57</v>
      </c>
      <c r="L251" t="s">
        <v>134</v>
      </c>
      <c r="M251" t="s">
        <v>350</v>
      </c>
      <c r="N251" t="b">
        <v>0</v>
      </c>
      <c r="O251" t="b">
        <v>0</v>
      </c>
    </row>
    <row r="252" spans="1:15">
      <c r="A252">
        <v>251</v>
      </c>
      <c r="B252" s="1">
        <v>45308.944733796299</v>
      </c>
      <c r="C252" s="2">
        <v>45309.00833326389</v>
      </c>
      <c r="D252" s="2">
        <v>45309.047780370369</v>
      </c>
      <c r="E252" t="s">
        <v>9</v>
      </c>
      <c r="F252" t="s">
        <v>4</v>
      </c>
      <c r="G252" t="s">
        <v>17</v>
      </c>
      <c r="H252">
        <v>1</v>
      </c>
      <c r="I252">
        <v>8</v>
      </c>
      <c r="J252" t="s">
        <v>52</v>
      </c>
      <c r="K252" t="s">
        <v>71</v>
      </c>
      <c r="L252" t="s">
        <v>91</v>
      </c>
      <c r="M252" t="s">
        <v>351</v>
      </c>
      <c r="N252" t="b">
        <v>0</v>
      </c>
      <c r="O252" t="b">
        <v>0</v>
      </c>
    </row>
    <row r="253" spans="1:15">
      <c r="A253">
        <v>252</v>
      </c>
      <c r="B253" s="1">
        <v>45309.092395833337</v>
      </c>
      <c r="C253" s="2">
        <v>45309.367004178239</v>
      </c>
      <c r="D253" s="2">
        <v>45309.897131168982</v>
      </c>
      <c r="E253" t="s">
        <v>11</v>
      </c>
      <c r="F253" t="s">
        <v>4</v>
      </c>
      <c r="G253" t="s">
        <v>17</v>
      </c>
      <c r="H253">
        <v>1</v>
      </c>
      <c r="I253">
        <v>3</v>
      </c>
      <c r="J253" t="s">
        <v>35</v>
      </c>
      <c r="K253" t="s">
        <v>71</v>
      </c>
      <c r="L253" t="s">
        <v>85</v>
      </c>
      <c r="M253" t="s">
        <v>352</v>
      </c>
      <c r="N253" t="b">
        <v>0</v>
      </c>
      <c r="O253" t="b">
        <v>0</v>
      </c>
    </row>
    <row r="254" spans="1:15">
      <c r="A254">
        <v>253</v>
      </c>
      <c r="B254" s="1">
        <v>45309.099293981482</v>
      </c>
      <c r="C254" s="2">
        <v>45309.28692953704</v>
      </c>
      <c r="D254" s="2">
        <v>45309.710579618055</v>
      </c>
      <c r="E254" t="s">
        <v>10</v>
      </c>
      <c r="F254" t="s">
        <v>4</v>
      </c>
      <c r="G254" t="s">
        <v>15</v>
      </c>
      <c r="H254">
        <v>3</v>
      </c>
      <c r="I254">
        <v>1</v>
      </c>
      <c r="J254" t="s">
        <v>31</v>
      </c>
      <c r="K254" t="s">
        <v>46</v>
      </c>
      <c r="L254" t="s">
        <v>69</v>
      </c>
      <c r="M254" t="s">
        <v>353</v>
      </c>
      <c r="N254" t="b">
        <v>0</v>
      </c>
      <c r="O254" t="b">
        <v>0</v>
      </c>
    </row>
    <row r="255" spans="1:15">
      <c r="A255">
        <v>254</v>
      </c>
      <c r="B255" s="1">
        <v>45309.112060185187</v>
      </c>
      <c r="C255" s="2">
        <v>45309.184430231478</v>
      </c>
      <c r="E255" t="s">
        <v>9</v>
      </c>
      <c r="F255" t="s">
        <v>3</v>
      </c>
      <c r="G255" t="s">
        <v>15</v>
      </c>
      <c r="H255">
        <v>4</v>
      </c>
      <c r="I255">
        <v>9</v>
      </c>
      <c r="J255" t="s">
        <v>31</v>
      </c>
      <c r="K255" t="s">
        <v>40</v>
      </c>
      <c r="L255" t="s">
        <v>188</v>
      </c>
      <c r="M255" t="s">
        <v>354</v>
      </c>
      <c r="N255" t="b">
        <v>0</v>
      </c>
      <c r="O255" t="b">
        <v>0</v>
      </c>
    </row>
    <row r="256" spans="1:15">
      <c r="A256">
        <v>255</v>
      </c>
      <c r="B256" s="1">
        <v>45309.184421296297</v>
      </c>
      <c r="C256" s="2">
        <v>45309.264339560184</v>
      </c>
      <c r="D256" s="2">
        <v>45309.287886203703</v>
      </c>
      <c r="E256" t="s">
        <v>9</v>
      </c>
      <c r="F256" t="s">
        <v>4</v>
      </c>
      <c r="G256" t="s">
        <v>17</v>
      </c>
      <c r="H256">
        <v>6</v>
      </c>
      <c r="I256">
        <v>6</v>
      </c>
      <c r="J256" t="s">
        <v>52</v>
      </c>
      <c r="K256" t="s">
        <v>73</v>
      </c>
      <c r="L256" t="s">
        <v>110</v>
      </c>
      <c r="M256" t="s">
        <v>355</v>
      </c>
      <c r="N256" t="b">
        <v>0</v>
      </c>
      <c r="O256" t="b">
        <v>0</v>
      </c>
    </row>
    <row r="257" spans="1:15">
      <c r="A257">
        <v>256</v>
      </c>
      <c r="B257" s="1">
        <v>45309.265833333331</v>
      </c>
      <c r="C257" s="2">
        <v>45309.507357407405</v>
      </c>
      <c r="D257" s="2">
        <v>45310.092938472226</v>
      </c>
      <c r="E257" t="s">
        <v>11</v>
      </c>
      <c r="F257" t="s">
        <v>4</v>
      </c>
      <c r="G257" t="s">
        <v>17</v>
      </c>
      <c r="H257">
        <v>5</v>
      </c>
      <c r="I257">
        <v>5</v>
      </c>
      <c r="J257" t="s">
        <v>31</v>
      </c>
      <c r="K257" t="s">
        <v>32</v>
      </c>
      <c r="L257" t="s">
        <v>310</v>
      </c>
      <c r="M257" t="s">
        <v>356</v>
      </c>
      <c r="N257" t="b">
        <v>0</v>
      </c>
      <c r="O257" t="b">
        <v>0</v>
      </c>
    </row>
    <row r="258" spans="1:15">
      <c r="A258">
        <v>257</v>
      </c>
      <c r="B258" s="1">
        <v>45309.330057870371</v>
      </c>
      <c r="C258" s="2">
        <v>45309.570575613427</v>
      </c>
      <c r="D258" s="2">
        <v>45309.739544733799</v>
      </c>
      <c r="E258" t="s">
        <v>10</v>
      </c>
      <c r="F258" t="s">
        <v>4</v>
      </c>
      <c r="G258" t="s">
        <v>15</v>
      </c>
      <c r="H258">
        <v>3</v>
      </c>
      <c r="I258">
        <v>4</v>
      </c>
      <c r="J258" t="s">
        <v>52</v>
      </c>
      <c r="K258" t="s">
        <v>46</v>
      </c>
      <c r="L258" t="s">
        <v>37</v>
      </c>
      <c r="M258" t="s">
        <v>357</v>
      </c>
      <c r="N258" t="b">
        <v>0</v>
      </c>
      <c r="O258" t="b">
        <v>0</v>
      </c>
    </row>
    <row r="259" spans="1:15">
      <c r="A259">
        <v>258</v>
      </c>
      <c r="B259" s="1">
        <v>45309.330497685187</v>
      </c>
      <c r="C259" s="2">
        <v>45309.518309791667</v>
      </c>
      <c r="D259" s="2">
        <v>45310.065900370369</v>
      </c>
      <c r="E259" t="s">
        <v>10</v>
      </c>
      <c r="F259" t="s">
        <v>4</v>
      </c>
      <c r="G259" t="s">
        <v>17</v>
      </c>
      <c r="H259">
        <v>6</v>
      </c>
      <c r="I259">
        <v>8</v>
      </c>
      <c r="J259" t="s">
        <v>68</v>
      </c>
      <c r="K259" t="s">
        <v>73</v>
      </c>
      <c r="L259" t="s">
        <v>153</v>
      </c>
      <c r="M259" t="s">
        <v>358</v>
      </c>
      <c r="N259" t="b">
        <v>0</v>
      </c>
      <c r="O259" t="b">
        <v>0</v>
      </c>
    </row>
    <row r="260" spans="1:15">
      <c r="A260">
        <v>259</v>
      </c>
      <c r="B260" s="1">
        <v>45309.343912037039</v>
      </c>
      <c r="C260" s="2">
        <v>45309.369622048609</v>
      </c>
      <c r="D260" s="2">
        <v>45309.502593622688</v>
      </c>
      <c r="E260" t="s">
        <v>9</v>
      </c>
      <c r="F260" t="s">
        <v>4</v>
      </c>
      <c r="G260" t="s">
        <v>15</v>
      </c>
      <c r="H260">
        <v>7</v>
      </c>
      <c r="I260">
        <v>4</v>
      </c>
      <c r="J260" t="s">
        <v>31</v>
      </c>
      <c r="K260" t="s">
        <v>43</v>
      </c>
      <c r="L260" t="s">
        <v>47</v>
      </c>
      <c r="M260" t="s">
        <v>359</v>
      </c>
      <c r="N260" t="b">
        <v>0</v>
      </c>
      <c r="O260" t="b">
        <v>0</v>
      </c>
    </row>
    <row r="261" spans="1:15">
      <c r="A261">
        <v>260</v>
      </c>
      <c r="B261" s="1">
        <v>45309.397731481484</v>
      </c>
      <c r="C261" s="2">
        <v>45309.58546858796</v>
      </c>
      <c r="D261" s="2">
        <v>45309.747813518516</v>
      </c>
      <c r="E261" t="s">
        <v>10</v>
      </c>
      <c r="F261" t="s">
        <v>4</v>
      </c>
      <c r="G261" t="s">
        <v>15</v>
      </c>
      <c r="H261">
        <v>2</v>
      </c>
      <c r="I261">
        <v>6</v>
      </c>
      <c r="J261" t="s">
        <v>31</v>
      </c>
      <c r="K261" t="s">
        <v>57</v>
      </c>
      <c r="L261" t="s">
        <v>64</v>
      </c>
      <c r="M261" t="s">
        <v>360</v>
      </c>
      <c r="N261" t="b">
        <v>0</v>
      </c>
      <c r="O261" t="b">
        <v>0</v>
      </c>
    </row>
    <row r="262" spans="1:15">
      <c r="A262">
        <v>261</v>
      </c>
      <c r="B262" s="1">
        <v>45309.452893518515</v>
      </c>
      <c r="C262" s="2">
        <v>45310.123023009262</v>
      </c>
      <c r="D262" s="2">
        <v>45311.124679085646</v>
      </c>
      <c r="E262" t="s">
        <v>11</v>
      </c>
      <c r="F262" t="s">
        <v>4</v>
      </c>
      <c r="G262" t="s">
        <v>16</v>
      </c>
      <c r="H262">
        <v>3</v>
      </c>
      <c r="I262">
        <v>2</v>
      </c>
      <c r="J262" t="s">
        <v>49</v>
      </c>
      <c r="K262" t="s">
        <v>46</v>
      </c>
      <c r="L262" t="s">
        <v>96</v>
      </c>
      <c r="M262" t="s">
        <v>361</v>
      </c>
      <c r="N262" t="b">
        <v>0</v>
      </c>
      <c r="O262" t="b">
        <v>0</v>
      </c>
    </row>
    <row r="263" spans="1:15">
      <c r="A263">
        <v>262</v>
      </c>
      <c r="B263" s="1">
        <v>45309.605150462965</v>
      </c>
      <c r="C263" s="2">
        <v>45309.807337951388</v>
      </c>
      <c r="D263" s="2">
        <v>45310.241468622684</v>
      </c>
      <c r="E263" t="s">
        <v>10</v>
      </c>
      <c r="F263" t="s">
        <v>4</v>
      </c>
      <c r="G263" t="s">
        <v>15</v>
      </c>
      <c r="H263">
        <v>8</v>
      </c>
      <c r="I263">
        <v>4</v>
      </c>
      <c r="J263" t="s">
        <v>39</v>
      </c>
      <c r="K263" t="s">
        <v>36</v>
      </c>
      <c r="L263" t="s">
        <v>55</v>
      </c>
      <c r="M263" t="s">
        <v>362</v>
      </c>
      <c r="N263" t="b">
        <v>0</v>
      </c>
      <c r="O263" t="b">
        <v>0</v>
      </c>
    </row>
    <row r="264" spans="1:15">
      <c r="A264">
        <v>263</v>
      </c>
      <c r="B264" s="1">
        <v>45309.693356481483</v>
      </c>
      <c r="C264" s="2">
        <v>45309.900074131947</v>
      </c>
      <c r="D264" s="2">
        <v>45310.549735509259</v>
      </c>
      <c r="E264" t="s">
        <v>10</v>
      </c>
      <c r="F264" t="s">
        <v>4</v>
      </c>
      <c r="G264" t="s">
        <v>17</v>
      </c>
      <c r="H264">
        <v>8</v>
      </c>
      <c r="I264">
        <v>1</v>
      </c>
      <c r="J264" t="s">
        <v>68</v>
      </c>
      <c r="K264" t="s">
        <v>36</v>
      </c>
      <c r="L264" t="s">
        <v>179</v>
      </c>
      <c r="M264" t="s">
        <v>363</v>
      </c>
      <c r="N264" t="b">
        <v>0</v>
      </c>
      <c r="O264" t="b">
        <v>0</v>
      </c>
    </row>
    <row r="265" spans="1:15">
      <c r="A265">
        <v>264</v>
      </c>
      <c r="B265" s="1">
        <v>45309.771574074075</v>
      </c>
      <c r="C265" s="2">
        <v>45309.942387430558</v>
      </c>
      <c r="E265" t="s">
        <v>10</v>
      </c>
      <c r="F265" t="s">
        <v>80</v>
      </c>
      <c r="G265" t="s">
        <v>17</v>
      </c>
      <c r="H265">
        <v>3</v>
      </c>
      <c r="I265">
        <v>3</v>
      </c>
      <c r="J265" t="s">
        <v>68</v>
      </c>
      <c r="K265" t="s">
        <v>46</v>
      </c>
      <c r="L265" t="s">
        <v>47</v>
      </c>
      <c r="M265" t="s">
        <v>364</v>
      </c>
      <c r="N265" t="b">
        <v>1</v>
      </c>
      <c r="O265" t="b">
        <v>0</v>
      </c>
    </row>
    <row r="266" spans="1:15">
      <c r="A266">
        <v>265</v>
      </c>
      <c r="B266" s="1">
        <v>45309.821099537039</v>
      </c>
      <c r="C266" s="2">
        <v>45309.852177824076</v>
      </c>
      <c r="D266" s="2">
        <v>45309.921144780092</v>
      </c>
      <c r="E266" t="s">
        <v>8</v>
      </c>
      <c r="F266" t="s">
        <v>2</v>
      </c>
      <c r="G266" t="s">
        <v>14</v>
      </c>
      <c r="H266">
        <v>5</v>
      </c>
      <c r="I266">
        <v>4</v>
      </c>
      <c r="J266" t="s">
        <v>68</v>
      </c>
      <c r="K266" t="s">
        <v>32</v>
      </c>
      <c r="L266" t="s">
        <v>33</v>
      </c>
      <c r="M266" t="s">
        <v>365</v>
      </c>
      <c r="N266" t="b">
        <v>1</v>
      </c>
      <c r="O266" t="b">
        <v>0</v>
      </c>
    </row>
    <row r="267" spans="1:15">
      <c r="A267">
        <v>266</v>
      </c>
      <c r="B267" s="1">
        <v>45309.994583333333</v>
      </c>
      <c r="C267" s="2">
        <v>45310.056788506947</v>
      </c>
      <c r="D267" s="2">
        <v>45310.385631365738</v>
      </c>
      <c r="E267" t="s">
        <v>10</v>
      </c>
      <c r="F267" t="s">
        <v>4</v>
      </c>
      <c r="G267" t="s">
        <v>15</v>
      </c>
      <c r="H267">
        <v>5</v>
      </c>
      <c r="I267">
        <v>8</v>
      </c>
      <c r="J267" t="s">
        <v>52</v>
      </c>
      <c r="K267" t="s">
        <v>32</v>
      </c>
      <c r="L267" t="s">
        <v>81</v>
      </c>
      <c r="M267" t="s">
        <v>366</v>
      </c>
      <c r="N267" t="b">
        <v>0</v>
      </c>
      <c r="O267" t="b">
        <v>0</v>
      </c>
    </row>
    <row r="268" spans="1:15">
      <c r="A268">
        <v>267</v>
      </c>
      <c r="B268" s="1">
        <v>45310.272060185183</v>
      </c>
      <c r="C268" s="2">
        <v>45310.296987442132</v>
      </c>
      <c r="D268" s="2">
        <v>45310.482636631947</v>
      </c>
      <c r="E268" t="s">
        <v>9</v>
      </c>
      <c r="F268" t="s">
        <v>4</v>
      </c>
      <c r="G268" t="s">
        <v>17</v>
      </c>
      <c r="H268">
        <v>6</v>
      </c>
      <c r="I268">
        <v>9</v>
      </c>
      <c r="J268" t="s">
        <v>31</v>
      </c>
      <c r="K268" t="s">
        <v>73</v>
      </c>
      <c r="L268" t="s">
        <v>58</v>
      </c>
      <c r="M268" t="s">
        <v>367</v>
      </c>
      <c r="N268" t="b">
        <v>0</v>
      </c>
      <c r="O268" t="b">
        <v>0</v>
      </c>
    </row>
    <row r="269" spans="1:15">
      <c r="A269">
        <v>268</v>
      </c>
      <c r="B269" s="1">
        <v>45310.408437500002</v>
      </c>
      <c r="C269" s="2">
        <v>45310.435492326389</v>
      </c>
      <c r="D269" s="2">
        <v>45310.51565465278</v>
      </c>
      <c r="E269" t="s">
        <v>8</v>
      </c>
      <c r="F269" t="s">
        <v>4</v>
      </c>
      <c r="G269" t="s">
        <v>17</v>
      </c>
      <c r="H269">
        <v>7</v>
      </c>
      <c r="I269">
        <v>6</v>
      </c>
      <c r="J269" t="s">
        <v>68</v>
      </c>
      <c r="K269" t="s">
        <v>43</v>
      </c>
      <c r="L269" t="s">
        <v>106</v>
      </c>
      <c r="M269" t="s">
        <v>368</v>
      </c>
      <c r="N269" t="b">
        <v>1</v>
      </c>
      <c r="O269" t="b">
        <v>0</v>
      </c>
    </row>
    <row r="270" spans="1:15">
      <c r="A270">
        <v>269</v>
      </c>
      <c r="B270" s="1">
        <v>45310.585115740738</v>
      </c>
      <c r="C270" s="2">
        <v>45310.632473171296</v>
      </c>
      <c r="D270" s="2">
        <v>45310.846335138885</v>
      </c>
      <c r="E270" t="s">
        <v>9</v>
      </c>
      <c r="F270" t="s">
        <v>4</v>
      </c>
      <c r="G270" t="s">
        <v>15</v>
      </c>
      <c r="H270">
        <v>1</v>
      </c>
      <c r="I270">
        <v>10</v>
      </c>
      <c r="J270" t="s">
        <v>35</v>
      </c>
      <c r="K270" t="s">
        <v>71</v>
      </c>
      <c r="L270" t="s">
        <v>81</v>
      </c>
      <c r="M270" t="s">
        <v>369</v>
      </c>
      <c r="N270" t="b">
        <v>0</v>
      </c>
      <c r="O270" t="b">
        <v>0</v>
      </c>
    </row>
    <row r="271" spans="1:15">
      <c r="A271">
        <v>270</v>
      </c>
      <c r="B271" s="1">
        <v>45310.620798611111</v>
      </c>
      <c r="C271" s="2">
        <v>45310.891621064817</v>
      </c>
      <c r="D271" s="2">
        <v>45310.990479467589</v>
      </c>
      <c r="E271" t="s">
        <v>10</v>
      </c>
      <c r="F271" t="s">
        <v>4</v>
      </c>
      <c r="G271" t="s">
        <v>15</v>
      </c>
      <c r="H271">
        <v>5</v>
      </c>
      <c r="I271">
        <v>4</v>
      </c>
      <c r="J271" t="s">
        <v>49</v>
      </c>
      <c r="K271" t="s">
        <v>32</v>
      </c>
      <c r="L271" t="s">
        <v>75</v>
      </c>
      <c r="M271" t="s">
        <v>370</v>
      </c>
      <c r="N271" t="b">
        <v>0</v>
      </c>
      <c r="O271" t="b">
        <v>0</v>
      </c>
    </row>
    <row r="272" spans="1:15">
      <c r="A272">
        <v>271</v>
      </c>
      <c r="B272" s="1">
        <v>45310.651284722226</v>
      </c>
      <c r="C272" s="2">
        <v>45311.44505613426</v>
      </c>
      <c r="E272" t="s">
        <v>11</v>
      </c>
      <c r="F272" t="s">
        <v>80</v>
      </c>
      <c r="G272" t="s">
        <v>14</v>
      </c>
      <c r="H272">
        <v>2</v>
      </c>
      <c r="I272">
        <v>5</v>
      </c>
      <c r="J272" t="s">
        <v>39</v>
      </c>
      <c r="K272" t="s">
        <v>57</v>
      </c>
      <c r="L272" t="s">
        <v>221</v>
      </c>
      <c r="M272" t="s">
        <v>371</v>
      </c>
      <c r="N272" t="b">
        <v>0</v>
      </c>
      <c r="O272" t="b">
        <v>0</v>
      </c>
    </row>
    <row r="273" spans="1:15">
      <c r="A273">
        <v>272</v>
      </c>
      <c r="B273" s="1">
        <v>45310.793171296296</v>
      </c>
      <c r="C273" s="2">
        <v>45310.889254409725</v>
      </c>
      <c r="E273" t="s">
        <v>9</v>
      </c>
      <c r="F273" t="s">
        <v>80</v>
      </c>
      <c r="G273" t="s">
        <v>17</v>
      </c>
      <c r="H273">
        <v>7</v>
      </c>
      <c r="I273">
        <v>7</v>
      </c>
      <c r="J273" t="s">
        <v>31</v>
      </c>
      <c r="K273" t="s">
        <v>43</v>
      </c>
      <c r="L273" t="s">
        <v>253</v>
      </c>
      <c r="M273" t="s">
        <v>372</v>
      </c>
      <c r="N273" t="b">
        <v>0</v>
      </c>
      <c r="O273" t="b">
        <v>0</v>
      </c>
    </row>
    <row r="274" spans="1:15">
      <c r="A274">
        <v>273</v>
      </c>
      <c r="B274" s="1">
        <v>45310.841944444444</v>
      </c>
      <c r="C274" s="2">
        <v>45311.556190520831</v>
      </c>
      <c r="D274" s="2">
        <v>45313.46895545139</v>
      </c>
      <c r="E274" t="s">
        <v>11</v>
      </c>
      <c r="F274" t="s">
        <v>4</v>
      </c>
      <c r="G274" t="s">
        <v>15</v>
      </c>
      <c r="H274">
        <v>5</v>
      </c>
      <c r="I274">
        <v>2</v>
      </c>
      <c r="J274" t="s">
        <v>68</v>
      </c>
      <c r="K274" t="s">
        <v>32</v>
      </c>
      <c r="L274" t="s">
        <v>66</v>
      </c>
      <c r="M274" t="s">
        <v>373</v>
      </c>
      <c r="N274" t="b">
        <v>0</v>
      </c>
      <c r="O274" t="b">
        <v>0</v>
      </c>
    </row>
    <row r="275" spans="1:15">
      <c r="A275">
        <v>274</v>
      </c>
      <c r="B275" s="1">
        <v>45310.849756944444</v>
      </c>
      <c r="C275" s="2">
        <v>45311.173534305555</v>
      </c>
      <c r="D275" s="2">
        <v>45311.31301726852</v>
      </c>
      <c r="E275" t="s">
        <v>10</v>
      </c>
      <c r="F275" t="s">
        <v>4</v>
      </c>
      <c r="G275" t="s">
        <v>17</v>
      </c>
      <c r="H275">
        <v>6</v>
      </c>
      <c r="I275">
        <v>5</v>
      </c>
      <c r="J275" t="s">
        <v>39</v>
      </c>
      <c r="K275" t="s">
        <v>73</v>
      </c>
      <c r="L275" t="s">
        <v>91</v>
      </c>
      <c r="M275" t="s">
        <v>374</v>
      </c>
      <c r="N275" t="b">
        <v>0</v>
      </c>
      <c r="O275" t="b">
        <v>0</v>
      </c>
    </row>
    <row r="276" spans="1:15">
      <c r="A276">
        <v>275</v>
      </c>
      <c r="B276" s="1">
        <v>45310.917881944442</v>
      </c>
      <c r="C276" s="2">
        <v>45311.189781377318</v>
      </c>
      <c r="D276" s="2">
        <v>45313.623669537039</v>
      </c>
      <c r="E276" t="s">
        <v>11</v>
      </c>
      <c r="F276" t="s">
        <v>4</v>
      </c>
      <c r="G276" t="s">
        <v>17</v>
      </c>
      <c r="H276">
        <v>8</v>
      </c>
      <c r="I276">
        <v>9</v>
      </c>
      <c r="J276" t="s">
        <v>31</v>
      </c>
      <c r="K276" t="s">
        <v>36</v>
      </c>
      <c r="L276" t="s">
        <v>179</v>
      </c>
      <c r="M276" t="s">
        <v>375</v>
      </c>
      <c r="N276" t="b">
        <v>1</v>
      </c>
      <c r="O276" t="b">
        <v>0</v>
      </c>
    </row>
    <row r="277" spans="1:15">
      <c r="A277">
        <v>276</v>
      </c>
      <c r="B277" s="1">
        <v>45311.089537037034</v>
      </c>
      <c r="C277" s="2">
        <v>45311.136012708332</v>
      </c>
      <c r="D277" s="2">
        <v>45311.948339618059</v>
      </c>
      <c r="E277" t="s">
        <v>10</v>
      </c>
      <c r="F277" t="s">
        <v>4</v>
      </c>
      <c r="G277" t="s">
        <v>15</v>
      </c>
      <c r="H277">
        <v>7</v>
      </c>
      <c r="I277">
        <v>5</v>
      </c>
      <c r="J277" t="s">
        <v>49</v>
      </c>
      <c r="K277" t="s">
        <v>43</v>
      </c>
      <c r="L277" t="s">
        <v>127</v>
      </c>
      <c r="M277" t="s">
        <v>376</v>
      </c>
      <c r="N277" t="b">
        <v>0</v>
      </c>
      <c r="O277" t="b">
        <v>0</v>
      </c>
    </row>
    <row r="278" spans="1:15">
      <c r="A278">
        <v>277</v>
      </c>
      <c r="B278" s="1">
        <v>45311.094236111108</v>
      </c>
      <c r="C278" s="2">
        <v>45311.77893083333</v>
      </c>
      <c r="D278" s="2">
        <v>45313.037121724534</v>
      </c>
      <c r="E278" t="s">
        <v>11</v>
      </c>
      <c r="F278" t="s">
        <v>4</v>
      </c>
      <c r="G278" t="s">
        <v>15</v>
      </c>
      <c r="H278">
        <v>7</v>
      </c>
      <c r="I278">
        <v>10</v>
      </c>
      <c r="J278" t="s">
        <v>31</v>
      </c>
      <c r="K278" t="s">
        <v>43</v>
      </c>
      <c r="L278" t="s">
        <v>102</v>
      </c>
      <c r="M278" t="s">
        <v>377</v>
      </c>
      <c r="N278" t="b">
        <v>0</v>
      </c>
      <c r="O278" t="b">
        <v>0</v>
      </c>
    </row>
    <row r="279" spans="1:15">
      <c r="A279">
        <v>278</v>
      </c>
      <c r="B279" s="1">
        <v>45311.206087962964</v>
      </c>
      <c r="C279" s="2">
        <v>45311.64271896991</v>
      </c>
      <c r="D279" s="2">
        <v>45312.980629398146</v>
      </c>
      <c r="E279" t="s">
        <v>11</v>
      </c>
      <c r="F279" t="s">
        <v>4</v>
      </c>
      <c r="G279" t="s">
        <v>15</v>
      </c>
      <c r="H279">
        <v>7</v>
      </c>
      <c r="I279">
        <v>7</v>
      </c>
      <c r="J279" t="s">
        <v>52</v>
      </c>
      <c r="K279" t="s">
        <v>43</v>
      </c>
      <c r="L279" t="s">
        <v>179</v>
      </c>
      <c r="M279" t="s">
        <v>378</v>
      </c>
      <c r="N279" t="b">
        <v>0</v>
      </c>
      <c r="O279" t="b">
        <v>0</v>
      </c>
    </row>
    <row r="280" spans="1:15">
      <c r="A280">
        <v>279</v>
      </c>
      <c r="B280" s="1">
        <v>45311.249525462961</v>
      </c>
      <c r="C280" s="2">
        <v>45311.538801979164</v>
      </c>
      <c r="D280" s="2">
        <v>45313.483329722221</v>
      </c>
      <c r="E280" t="s">
        <v>11</v>
      </c>
      <c r="F280" t="s">
        <v>4</v>
      </c>
      <c r="G280" t="s">
        <v>17</v>
      </c>
      <c r="H280">
        <v>6</v>
      </c>
      <c r="I280">
        <v>2</v>
      </c>
      <c r="J280" t="s">
        <v>68</v>
      </c>
      <c r="K280" t="s">
        <v>73</v>
      </c>
      <c r="L280" t="s">
        <v>124</v>
      </c>
      <c r="M280" t="s">
        <v>379</v>
      </c>
      <c r="N280" t="b">
        <v>0</v>
      </c>
      <c r="O280" t="b">
        <v>0</v>
      </c>
    </row>
    <row r="281" spans="1:15">
      <c r="A281">
        <v>280</v>
      </c>
      <c r="B281" s="1">
        <v>45311.463090277779</v>
      </c>
      <c r="C281" s="2">
        <v>45311.966034837962</v>
      </c>
      <c r="D281" s="2">
        <v>45313.701465138889</v>
      </c>
      <c r="E281" t="s">
        <v>11</v>
      </c>
      <c r="F281" t="s">
        <v>4</v>
      </c>
      <c r="G281" t="s">
        <v>17</v>
      </c>
      <c r="H281">
        <v>4</v>
      </c>
      <c r="I281">
        <v>5</v>
      </c>
      <c r="J281" t="s">
        <v>68</v>
      </c>
      <c r="K281" t="s">
        <v>40</v>
      </c>
      <c r="L281" t="s">
        <v>89</v>
      </c>
      <c r="M281" t="s">
        <v>380</v>
      </c>
      <c r="N281" t="b">
        <v>0</v>
      </c>
      <c r="O281" t="b">
        <v>0</v>
      </c>
    </row>
    <row r="282" spans="1:15">
      <c r="A282">
        <v>281</v>
      </c>
      <c r="B282" s="1">
        <v>45311.476712962962</v>
      </c>
      <c r="C282" s="2">
        <v>45311.550603263888</v>
      </c>
      <c r="D282" s="2">
        <v>45311.63410314815</v>
      </c>
      <c r="E282" t="s">
        <v>9</v>
      </c>
      <c r="F282" t="s">
        <v>4</v>
      </c>
      <c r="G282" t="s">
        <v>15</v>
      </c>
      <c r="H282">
        <v>3</v>
      </c>
      <c r="I282">
        <v>4</v>
      </c>
      <c r="J282" t="s">
        <v>39</v>
      </c>
      <c r="K282" t="s">
        <v>46</v>
      </c>
      <c r="L282" t="s">
        <v>64</v>
      </c>
      <c r="M282" t="s">
        <v>381</v>
      </c>
      <c r="N282" t="b">
        <v>0</v>
      </c>
      <c r="O282" t="b">
        <v>0</v>
      </c>
    </row>
    <row r="283" spans="1:15">
      <c r="A283">
        <v>282</v>
      </c>
      <c r="B283" s="1">
        <v>45311.480381944442</v>
      </c>
      <c r="C283" s="2">
        <v>45312.120217731484</v>
      </c>
      <c r="D283" s="2">
        <v>45312.651304108796</v>
      </c>
      <c r="E283" t="s">
        <v>11</v>
      </c>
      <c r="F283" t="s">
        <v>4</v>
      </c>
      <c r="G283" t="s">
        <v>17</v>
      </c>
      <c r="H283">
        <v>3</v>
      </c>
      <c r="I283">
        <v>10</v>
      </c>
      <c r="J283" t="s">
        <v>31</v>
      </c>
      <c r="K283" t="s">
        <v>46</v>
      </c>
      <c r="L283" t="s">
        <v>174</v>
      </c>
      <c r="M283" t="s">
        <v>382</v>
      </c>
      <c r="N283" t="b">
        <v>0</v>
      </c>
      <c r="O283" t="b">
        <v>0</v>
      </c>
    </row>
    <row r="284" spans="1:15">
      <c r="A284">
        <v>283</v>
      </c>
      <c r="B284" s="1">
        <v>45311.506226851852</v>
      </c>
      <c r="C284" s="2">
        <v>45312.087922777777</v>
      </c>
      <c r="D284" s="2">
        <v>45313.153397511574</v>
      </c>
      <c r="E284" t="s">
        <v>11</v>
      </c>
      <c r="F284" t="s">
        <v>4</v>
      </c>
      <c r="G284" t="s">
        <v>14</v>
      </c>
      <c r="H284">
        <v>5</v>
      </c>
      <c r="I284">
        <v>4</v>
      </c>
      <c r="J284" t="s">
        <v>35</v>
      </c>
      <c r="K284" t="s">
        <v>32</v>
      </c>
      <c r="L284" t="s">
        <v>284</v>
      </c>
      <c r="M284" t="s">
        <v>383</v>
      </c>
      <c r="N284" t="b">
        <v>0</v>
      </c>
      <c r="O284" t="b">
        <v>0</v>
      </c>
    </row>
    <row r="285" spans="1:15">
      <c r="A285">
        <v>284</v>
      </c>
      <c r="B285" s="1">
        <v>45311.689837962964</v>
      </c>
      <c r="C285" s="2">
        <v>45311.783528888889</v>
      </c>
      <c r="E285" t="s">
        <v>10</v>
      </c>
      <c r="F285" t="s">
        <v>3</v>
      </c>
      <c r="G285" t="s">
        <v>17</v>
      </c>
      <c r="H285">
        <v>7</v>
      </c>
      <c r="I285">
        <v>5</v>
      </c>
      <c r="J285" t="s">
        <v>39</v>
      </c>
      <c r="K285" t="s">
        <v>43</v>
      </c>
      <c r="L285" t="s">
        <v>96</v>
      </c>
      <c r="M285" t="s">
        <v>384</v>
      </c>
      <c r="N285" t="b">
        <v>0</v>
      </c>
      <c r="O285" t="b">
        <v>0</v>
      </c>
    </row>
    <row r="286" spans="1:15">
      <c r="A286">
        <v>285</v>
      </c>
      <c r="B286" s="1">
        <v>45311.766134259262</v>
      </c>
      <c r="C286" s="2">
        <v>45311.826400196762</v>
      </c>
      <c r="D286" s="2">
        <v>45311.975418206021</v>
      </c>
      <c r="E286" t="s">
        <v>9</v>
      </c>
      <c r="F286" t="s">
        <v>4</v>
      </c>
      <c r="G286" t="s">
        <v>15</v>
      </c>
      <c r="H286">
        <v>3</v>
      </c>
      <c r="I286">
        <v>7</v>
      </c>
      <c r="J286" t="s">
        <v>39</v>
      </c>
      <c r="K286" t="s">
        <v>46</v>
      </c>
      <c r="L286" t="s">
        <v>121</v>
      </c>
      <c r="M286" t="s">
        <v>385</v>
      </c>
      <c r="N286" t="b">
        <v>0</v>
      </c>
      <c r="O286" t="b">
        <v>0</v>
      </c>
    </row>
    <row r="287" spans="1:15">
      <c r="A287">
        <v>286</v>
      </c>
      <c r="B287" s="1">
        <v>45311.843888888892</v>
      </c>
      <c r="C287" s="2">
        <v>45312.507654456022</v>
      </c>
      <c r="D287" s="2">
        <v>45313.230426226852</v>
      </c>
      <c r="E287" t="s">
        <v>11</v>
      </c>
      <c r="F287" t="s">
        <v>2</v>
      </c>
      <c r="G287" t="s">
        <v>15</v>
      </c>
      <c r="H287">
        <v>5</v>
      </c>
      <c r="I287">
        <v>10</v>
      </c>
      <c r="J287" t="s">
        <v>52</v>
      </c>
      <c r="K287" t="s">
        <v>32</v>
      </c>
      <c r="L287" t="s">
        <v>85</v>
      </c>
      <c r="M287" t="s">
        <v>386</v>
      </c>
      <c r="N287" t="b">
        <v>0</v>
      </c>
      <c r="O287" t="b">
        <v>0</v>
      </c>
    </row>
    <row r="288" spans="1:15">
      <c r="A288">
        <v>287</v>
      </c>
      <c r="B288" s="1">
        <v>45311.845092592594</v>
      </c>
      <c r="C288" s="2">
        <v>45311.917190347223</v>
      </c>
      <c r="D288" s="2">
        <v>45311.979750833336</v>
      </c>
      <c r="E288" t="s">
        <v>9</v>
      </c>
      <c r="F288" t="s">
        <v>4</v>
      </c>
      <c r="G288" t="s">
        <v>16</v>
      </c>
      <c r="H288">
        <v>4</v>
      </c>
      <c r="I288">
        <v>6</v>
      </c>
      <c r="J288" t="s">
        <v>68</v>
      </c>
      <c r="K288" t="s">
        <v>40</v>
      </c>
      <c r="L288" t="s">
        <v>93</v>
      </c>
      <c r="M288" t="s">
        <v>387</v>
      </c>
      <c r="N288" t="b">
        <v>0</v>
      </c>
      <c r="O288" t="b">
        <v>0</v>
      </c>
    </row>
    <row r="289" spans="1:15">
      <c r="A289">
        <v>288</v>
      </c>
      <c r="B289" s="1">
        <v>45311.8593287037</v>
      </c>
      <c r="C289" s="2">
        <v>45312.366400752318</v>
      </c>
      <c r="D289" s="2">
        <v>45313.365193831021</v>
      </c>
      <c r="E289" t="s">
        <v>11</v>
      </c>
      <c r="F289" t="s">
        <v>4</v>
      </c>
      <c r="G289" t="s">
        <v>15</v>
      </c>
      <c r="H289">
        <v>5</v>
      </c>
      <c r="I289">
        <v>9</v>
      </c>
      <c r="J289" t="s">
        <v>39</v>
      </c>
      <c r="K289" t="s">
        <v>32</v>
      </c>
      <c r="L289" t="s">
        <v>179</v>
      </c>
      <c r="M289" t="s">
        <v>388</v>
      </c>
      <c r="N289" t="b">
        <v>0</v>
      </c>
      <c r="O289" t="b">
        <v>0</v>
      </c>
    </row>
    <row r="290" spans="1:15">
      <c r="A290">
        <v>289</v>
      </c>
      <c r="B290" s="1">
        <v>45311.902361111112</v>
      </c>
      <c r="C290" s="2">
        <v>45312.093521261573</v>
      </c>
      <c r="D290" s="2">
        <v>45312.518620509261</v>
      </c>
      <c r="E290" t="s">
        <v>10</v>
      </c>
      <c r="F290" t="s">
        <v>4</v>
      </c>
      <c r="G290" t="s">
        <v>15</v>
      </c>
      <c r="H290">
        <v>7</v>
      </c>
      <c r="I290">
        <v>2</v>
      </c>
      <c r="J290" t="s">
        <v>68</v>
      </c>
      <c r="K290" t="s">
        <v>43</v>
      </c>
      <c r="L290" t="s">
        <v>110</v>
      </c>
      <c r="M290" t="s">
        <v>389</v>
      </c>
      <c r="N290" t="b">
        <v>0</v>
      </c>
      <c r="O290" t="b">
        <v>0</v>
      </c>
    </row>
    <row r="291" spans="1:15">
      <c r="A291">
        <v>290</v>
      </c>
      <c r="B291" s="1">
        <v>45311.917939814812</v>
      </c>
      <c r="C291" s="2">
        <v>45312.456562951389</v>
      </c>
      <c r="D291" s="2">
        <v>45313.830098587961</v>
      </c>
      <c r="E291" t="s">
        <v>11</v>
      </c>
      <c r="F291" t="s">
        <v>4</v>
      </c>
      <c r="G291" t="s">
        <v>14</v>
      </c>
      <c r="H291">
        <v>4</v>
      </c>
      <c r="I291">
        <v>9</v>
      </c>
      <c r="J291" t="s">
        <v>52</v>
      </c>
      <c r="K291" t="s">
        <v>40</v>
      </c>
      <c r="L291" t="s">
        <v>60</v>
      </c>
      <c r="M291" t="s">
        <v>390</v>
      </c>
      <c r="N291" t="b">
        <v>0</v>
      </c>
      <c r="O291" t="b">
        <v>0</v>
      </c>
    </row>
    <row r="292" spans="1:15">
      <c r="A292">
        <v>291</v>
      </c>
      <c r="B292" s="1">
        <v>45312.196863425925</v>
      </c>
      <c r="C292" s="2">
        <v>45312.227228136573</v>
      </c>
      <c r="D292" s="2">
        <v>45312.448209780094</v>
      </c>
      <c r="E292" t="s">
        <v>9</v>
      </c>
      <c r="F292" t="s">
        <v>4</v>
      </c>
      <c r="G292" t="s">
        <v>14</v>
      </c>
      <c r="H292">
        <v>4</v>
      </c>
      <c r="I292">
        <v>3</v>
      </c>
      <c r="J292" t="s">
        <v>35</v>
      </c>
      <c r="K292" t="s">
        <v>40</v>
      </c>
      <c r="L292" t="s">
        <v>85</v>
      </c>
      <c r="M292" t="s">
        <v>391</v>
      </c>
      <c r="N292" t="b">
        <v>0</v>
      </c>
      <c r="O292" t="b">
        <v>0</v>
      </c>
    </row>
    <row r="293" spans="1:15">
      <c r="A293">
        <v>292</v>
      </c>
      <c r="B293" s="1">
        <v>45312.329606481479</v>
      </c>
      <c r="C293" s="2">
        <v>45312.75832828704</v>
      </c>
      <c r="D293" s="2">
        <v>45313.844357789349</v>
      </c>
      <c r="E293" t="s">
        <v>11</v>
      </c>
      <c r="F293" t="s">
        <v>4</v>
      </c>
      <c r="G293" t="s">
        <v>16</v>
      </c>
      <c r="H293">
        <v>2</v>
      </c>
      <c r="I293">
        <v>8</v>
      </c>
      <c r="J293" t="s">
        <v>35</v>
      </c>
      <c r="K293" t="s">
        <v>57</v>
      </c>
      <c r="L293" t="s">
        <v>171</v>
      </c>
      <c r="M293" t="s">
        <v>392</v>
      </c>
      <c r="N293" t="b">
        <v>0</v>
      </c>
      <c r="O293" t="b">
        <v>0</v>
      </c>
    </row>
    <row r="294" spans="1:15">
      <c r="A294">
        <v>293</v>
      </c>
      <c r="B294" s="1">
        <v>45312.368703703702</v>
      </c>
      <c r="C294" s="2">
        <v>45312.695812708334</v>
      </c>
      <c r="D294" s="2">
        <v>45313.01370333333</v>
      </c>
      <c r="E294" t="s">
        <v>10</v>
      </c>
      <c r="F294" t="s">
        <v>4</v>
      </c>
      <c r="G294" t="s">
        <v>17</v>
      </c>
      <c r="H294">
        <v>4</v>
      </c>
      <c r="I294">
        <v>6</v>
      </c>
      <c r="J294" t="s">
        <v>39</v>
      </c>
      <c r="K294" t="s">
        <v>40</v>
      </c>
      <c r="L294" t="s">
        <v>153</v>
      </c>
      <c r="M294" t="s">
        <v>393</v>
      </c>
      <c r="N294" t="b">
        <v>0</v>
      </c>
      <c r="O294" t="b">
        <v>0</v>
      </c>
    </row>
    <row r="295" spans="1:15">
      <c r="A295">
        <v>294</v>
      </c>
      <c r="B295" s="1">
        <v>45312.397615740738</v>
      </c>
      <c r="C295" s="2">
        <v>45313.04303533565</v>
      </c>
      <c r="D295" s="2">
        <v>45315.231473564818</v>
      </c>
      <c r="E295" t="s">
        <v>11</v>
      </c>
      <c r="F295" t="s">
        <v>4</v>
      </c>
      <c r="G295" t="s">
        <v>16</v>
      </c>
      <c r="H295">
        <v>4</v>
      </c>
      <c r="I295">
        <v>7</v>
      </c>
      <c r="J295" t="s">
        <v>52</v>
      </c>
      <c r="K295" t="s">
        <v>40</v>
      </c>
      <c r="L295" t="s">
        <v>91</v>
      </c>
      <c r="M295" t="s">
        <v>394</v>
      </c>
      <c r="N295" t="b">
        <v>1</v>
      </c>
      <c r="O295" t="b">
        <v>0</v>
      </c>
    </row>
    <row r="296" spans="1:15">
      <c r="A296">
        <v>295</v>
      </c>
      <c r="B296" s="1">
        <v>45312.475451388891</v>
      </c>
      <c r="C296" s="2">
        <v>45312.531329386577</v>
      </c>
      <c r="D296" s="2">
        <v>45313.320158553244</v>
      </c>
      <c r="E296" t="s">
        <v>10</v>
      </c>
      <c r="F296" t="s">
        <v>4</v>
      </c>
      <c r="G296" t="s">
        <v>15</v>
      </c>
      <c r="H296">
        <v>2</v>
      </c>
      <c r="I296">
        <v>1</v>
      </c>
      <c r="J296" t="s">
        <v>68</v>
      </c>
      <c r="K296" t="s">
        <v>57</v>
      </c>
      <c r="L296" t="s">
        <v>164</v>
      </c>
      <c r="M296" t="s">
        <v>395</v>
      </c>
      <c r="N296" t="b">
        <v>0</v>
      </c>
      <c r="O296" t="b">
        <v>0</v>
      </c>
    </row>
    <row r="297" spans="1:15">
      <c r="A297">
        <v>296</v>
      </c>
      <c r="B297" s="1">
        <v>45312.607916666668</v>
      </c>
      <c r="C297" s="2">
        <v>45312.727883402775</v>
      </c>
      <c r="D297" s="2">
        <v>45312.846365787038</v>
      </c>
      <c r="E297" t="s">
        <v>9</v>
      </c>
      <c r="F297" t="s">
        <v>4</v>
      </c>
      <c r="G297" t="s">
        <v>14</v>
      </c>
      <c r="H297">
        <v>8</v>
      </c>
      <c r="I297">
        <v>6</v>
      </c>
      <c r="J297" t="s">
        <v>31</v>
      </c>
      <c r="K297" t="s">
        <v>36</v>
      </c>
      <c r="L297" t="s">
        <v>213</v>
      </c>
      <c r="M297" t="s">
        <v>396</v>
      </c>
      <c r="N297" t="b">
        <v>0</v>
      </c>
      <c r="O297" t="b">
        <v>0</v>
      </c>
    </row>
    <row r="298" spans="1:15">
      <c r="A298">
        <v>297</v>
      </c>
      <c r="B298" s="1">
        <v>45312.660983796297</v>
      </c>
      <c r="C298" s="2">
        <v>45312.861735138889</v>
      </c>
      <c r="D298" s="2">
        <v>45313.260554594905</v>
      </c>
      <c r="E298" t="s">
        <v>10</v>
      </c>
      <c r="F298" t="s">
        <v>4</v>
      </c>
      <c r="G298" t="s">
        <v>15</v>
      </c>
      <c r="H298">
        <v>7</v>
      </c>
      <c r="I298">
        <v>1</v>
      </c>
      <c r="J298" t="s">
        <v>35</v>
      </c>
      <c r="K298" t="s">
        <v>43</v>
      </c>
      <c r="L298" t="s">
        <v>171</v>
      </c>
      <c r="M298" t="s">
        <v>397</v>
      </c>
      <c r="N298" t="b">
        <v>0</v>
      </c>
      <c r="O298" t="b">
        <v>0</v>
      </c>
    </row>
    <row r="299" spans="1:15">
      <c r="A299">
        <v>298</v>
      </c>
      <c r="B299" s="1">
        <v>45312.673784722225</v>
      </c>
      <c r="C299" s="2">
        <v>45312.770757465281</v>
      </c>
      <c r="D299" s="2">
        <v>45312.76383916667</v>
      </c>
      <c r="E299" t="s">
        <v>9</v>
      </c>
      <c r="F299" t="s">
        <v>4</v>
      </c>
      <c r="G299" t="s">
        <v>16</v>
      </c>
      <c r="H299">
        <v>3</v>
      </c>
      <c r="I299">
        <v>6</v>
      </c>
      <c r="J299" t="s">
        <v>39</v>
      </c>
      <c r="K299" t="s">
        <v>46</v>
      </c>
      <c r="L299" t="s">
        <v>102</v>
      </c>
      <c r="M299" t="s">
        <v>398</v>
      </c>
      <c r="N299" t="b">
        <v>0</v>
      </c>
      <c r="O299" t="b">
        <v>0</v>
      </c>
    </row>
    <row r="300" spans="1:15">
      <c r="A300">
        <v>299</v>
      </c>
      <c r="B300" s="1">
        <v>45312.689849537041</v>
      </c>
      <c r="C300" s="2">
        <v>45313.386523414352</v>
      </c>
      <c r="D300" s="2">
        <v>45315.289471284719</v>
      </c>
      <c r="E300" t="s">
        <v>11</v>
      </c>
      <c r="F300" t="s">
        <v>4</v>
      </c>
      <c r="G300" t="s">
        <v>14</v>
      </c>
      <c r="H300">
        <v>8</v>
      </c>
      <c r="I300">
        <v>5</v>
      </c>
      <c r="J300" t="s">
        <v>68</v>
      </c>
      <c r="K300" t="s">
        <v>36</v>
      </c>
      <c r="L300" t="s">
        <v>85</v>
      </c>
      <c r="M300" t="s">
        <v>399</v>
      </c>
      <c r="N300" t="b">
        <v>0</v>
      </c>
      <c r="O300" t="b">
        <v>0</v>
      </c>
    </row>
    <row r="301" spans="1:15">
      <c r="A301">
        <v>300</v>
      </c>
      <c r="B301" s="1">
        <v>45312.803101851852</v>
      </c>
      <c r="C301" s="2">
        <v>45312.826983449071</v>
      </c>
      <c r="D301" s="2">
        <v>45312.903669976855</v>
      </c>
      <c r="E301" t="s">
        <v>9</v>
      </c>
      <c r="F301" t="s">
        <v>4</v>
      </c>
      <c r="G301" t="s">
        <v>14</v>
      </c>
      <c r="H301">
        <v>3</v>
      </c>
      <c r="I301">
        <v>3</v>
      </c>
      <c r="J301" t="s">
        <v>31</v>
      </c>
      <c r="K301" t="s">
        <v>46</v>
      </c>
      <c r="L301" t="s">
        <v>188</v>
      </c>
      <c r="M301" t="s">
        <v>400</v>
      </c>
      <c r="N301" t="b">
        <v>0</v>
      </c>
      <c r="O301" t="b">
        <v>0</v>
      </c>
    </row>
    <row r="302" spans="1:15">
      <c r="A302">
        <v>301</v>
      </c>
      <c r="B302" s="1">
        <v>45312.81449074074</v>
      </c>
      <c r="C302" s="2">
        <v>45313.018764039349</v>
      </c>
      <c r="D302" s="2">
        <v>45313.383897465275</v>
      </c>
      <c r="E302" t="s">
        <v>10</v>
      </c>
      <c r="F302" t="s">
        <v>4</v>
      </c>
      <c r="G302" t="s">
        <v>17</v>
      </c>
      <c r="H302">
        <v>4</v>
      </c>
      <c r="I302">
        <v>5</v>
      </c>
      <c r="J302" t="s">
        <v>39</v>
      </c>
      <c r="K302" t="s">
        <v>40</v>
      </c>
      <c r="L302" t="s">
        <v>89</v>
      </c>
      <c r="M302" t="s">
        <v>401</v>
      </c>
      <c r="N302" t="b">
        <v>0</v>
      </c>
      <c r="O302" t="b">
        <v>0</v>
      </c>
    </row>
    <row r="303" spans="1:15">
      <c r="A303">
        <v>302</v>
      </c>
      <c r="B303" s="1">
        <v>45312.829201388886</v>
      </c>
      <c r="C303" s="2">
        <v>45313.381382789354</v>
      </c>
      <c r="D303" s="2">
        <v>45315.160099722219</v>
      </c>
      <c r="E303" t="s">
        <v>11</v>
      </c>
      <c r="F303" t="s">
        <v>4</v>
      </c>
      <c r="G303" t="s">
        <v>15</v>
      </c>
      <c r="H303">
        <v>2</v>
      </c>
      <c r="I303">
        <v>3</v>
      </c>
      <c r="J303" t="s">
        <v>68</v>
      </c>
      <c r="K303" t="s">
        <v>57</v>
      </c>
      <c r="L303" t="s">
        <v>64</v>
      </c>
      <c r="M303" t="s">
        <v>402</v>
      </c>
      <c r="N303" t="b">
        <v>0</v>
      </c>
      <c r="O303" t="b">
        <v>0</v>
      </c>
    </row>
    <row r="304" spans="1:15">
      <c r="A304">
        <v>303</v>
      </c>
      <c r="B304" s="1">
        <v>45312.847291666665</v>
      </c>
      <c r="C304" s="2">
        <v>45312.908443298613</v>
      </c>
      <c r="D304" s="2">
        <v>45313.750041956017</v>
      </c>
      <c r="E304" t="s">
        <v>10</v>
      </c>
      <c r="F304" t="s">
        <v>4</v>
      </c>
      <c r="G304" t="s">
        <v>17</v>
      </c>
      <c r="H304">
        <v>5</v>
      </c>
      <c r="I304">
        <v>1</v>
      </c>
      <c r="J304" t="s">
        <v>52</v>
      </c>
      <c r="K304" t="s">
        <v>32</v>
      </c>
      <c r="L304" t="s">
        <v>121</v>
      </c>
      <c r="M304" t="s">
        <v>403</v>
      </c>
      <c r="N304" t="b">
        <v>1</v>
      </c>
      <c r="O304" t="b">
        <v>0</v>
      </c>
    </row>
    <row r="305" spans="1:15">
      <c r="A305">
        <v>304</v>
      </c>
      <c r="B305" s="1">
        <v>45312.890173611115</v>
      </c>
      <c r="C305" s="2">
        <v>45313.122461990744</v>
      </c>
      <c r="E305" t="s">
        <v>10</v>
      </c>
      <c r="F305" t="s">
        <v>80</v>
      </c>
      <c r="G305" t="s">
        <v>15</v>
      </c>
      <c r="H305">
        <v>4</v>
      </c>
      <c r="I305">
        <v>1</v>
      </c>
      <c r="J305" t="s">
        <v>35</v>
      </c>
      <c r="K305" t="s">
        <v>40</v>
      </c>
      <c r="L305" t="s">
        <v>131</v>
      </c>
      <c r="M305" t="s">
        <v>404</v>
      </c>
      <c r="N305" t="b">
        <v>0</v>
      </c>
      <c r="O305" t="b">
        <v>0</v>
      </c>
    </row>
    <row r="306" spans="1:15">
      <c r="A306">
        <v>305</v>
      </c>
      <c r="B306" s="1">
        <v>45312.951643518521</v>
      </c>
      <c r="C306" s="2">
        <v>45313.233731701388</v>
      </c>
      <c r="D306" s="2">
        <v>45313.723130810184</v>
      </c>
      <c r="E306" t="s">
        <v>11</v>
      </c>
      <c r="F306" t="s">
        <v>4</v>
      </c>
      <c r="G306" t="s">
        <v>14</v>
      </c>
      <c r="H306">
        <v>3</v>
      </c>
      <c r="I306">
        <v>4</v>
      </c>
      <c r="J306" t="s">
        <v>39</v>
      </c>
      <c r="K306" t="s">
        <v>46</v>
      </c>
      <c r="L306" t="s">
        <v>134</v>
      </c>
      <c r="M306" t="s">
        <v>405</v>
      </c>
      <c r="N306" t="b">
        <v>0</v>
      </c>
      <c r="O306" t="b">
        <v>0</v>
      </c>
    </row>
    <row r="307" spans="1:15">
      <c r="A307">
        <v>306</v>
      </c>
      <c r="B307" s="1">
        <v>45312.991770833331</v>
      </c>
      <c r="C307" s="2">
        <v>45313.25696136574</v>
      </c>
      <c r="D307" s="2">
        <v>45313.869790578705</v>
      </c>
      <c r="E307" t="s">
        <v>10</v>
      </c>
      <c r="F307" t="s">
        <v>2</v>
      </c>
      <c r="G307" t="s">
        <v>15</v>
      </c>
      <c r="H307">
        <v>3</v>
      </c>
      <c r="I307">
        <v>8</v>
      </c>
      <c r="J307" t="s">
        <v>49</v>
      </c>
      <c r="K307" t="s">
        <v>46</v>
      </c>
      <c r="L307" t="s">
        <v>78</v>
      </c>
      <c r="M307" t="s">
        <v>406</v>
      </c>
      <c r="N307" t="b">
        <v>0</v>
      </c>
      <c r="O307" t="b">
        <v>0</v>
      </c>
    </row>
    <row r="308" spans="1:15">
      <c r="A308">
        <v>307</v>
      </c>
      <c r="B308" s="1">
        <v>45313.026770833334</v>
      </c>
      <c r="C308" s="2">
        <v>45313.652671307871</v>
      </c>
      <c r="D308" s="2">
        <v>45314.310406805555</v>
      </c>
      <c r="E308" t="s">
        <v>11</v>
      </c>
      <c r="F308" t="s">
        <v>4</v>
      </c>
      <c r="G308" t="s">
        <v>15</v>
      </c>
      <c r="H308">
        <v>8</v>
      </c>
      <c r="I308">
        <v>6</v>
      </c>
      <c r="J308" t="s">
        <v>39</v>
      </c>
      <c r="K308" t="s">
        <v>36</v>
      </c>
      <c r="L308" t="s">
        <v>50</v>
      </c>
      <c r="M308" t="s">
        <v>407</v>
      </c>
      <c r="N308" t="b">
        <v>0</v>
      </c>
      <c r="O308" t="b">
        <v>0</v>
      </c>
    </row>
    <row r="309" spans="1:15">
      <c r="A309">
        <v>308</v>
      </c>
      <c r="B309" s="1">
        <v>45313.054224537038</v>
      </c>
      <c r="C309" s="2">
        <v>45313.166694085645</v>
      </c>
      <c r="D309" s="2">
        <v>45313.918469201388</v>
      </c>
      <c r="E309" t="s">
        <v>10</v>
      </c>
      <c r="F309" t="s">
        <v>4</v>
      </c>
      <c r="G309" t="s">
        <v>15</v>
      </c>
      <c r="H309">
        <v>6</v>
      </c>
      <c r="I309">
        <v>2</v>
      </c>
      <c r="J309" t="s">
        <v>52</v>
      </c>
      <c r="K309" t="s">
        <v>73</v>
      </c>
      <c r="L309" t="s">
        <v>62</v>
      </c>
      <c r="M309" t="s">
        <v>408</v>
      </c>
      <c r="N309" t="b">
        <v>0</v>
      </c>
      <c r="O309" t="b">
        <v>0</v>
      </c>
    </row>
    <row r="310" spans="1:15">
      <c r="A310">
        <v>309</v>
      </c>
      <c r="B310" s="1">
        <v>45313.125648148147</v>
      </c>
      <c r="C310" s="2">
        <v>45313.25651983796</v>
      </c>
      <c r="E310" t="s">
        <v>10</v>
      </c>
      <c r="F310" t="s">
        <v>80</v>
      </c>
      <c r="G310" t="s">
        <v>14</v>
      </c>
      <c r="H310">
        <v>2</v>
      </c>
      <c r="I310">
        <v>5</v>
      </c>
      <c r="J310" t="s">
        <v>68</v>
      </c>
      <c r="K310" t="s">
        <v>57</v>
      </c>
      <c r="L310" t="s">
        <v>69</v>
      </c>
      <c r="M310" t="s">
        <v>409</v>
      </c>
      <c r="N310" t="b">
        <v>0</v>
      </c>
      <c r="O310" t="b">
        <v>0</v>
      </c>
    </row>
    <row r="311" spans="1:15">
      <c r="A311">
        <v>310</v>
      </c>
      <c r="B311" s="1">
        <v>45313.1721412037</v>
      </c>
      <c r="C311" s="2">
        <v>45313.227393483794</v>
      </c>
      <c r="D311" s="2">
        <v>45314.001449594907</v>
      </c>
      <c r="E311" t="s">
        <v>10</v>
      </c>
      <c r="F311" t="s">
        <v>4</v>
      </c>
      <c r="G311" t="s">
        <v>17</v>
      </c>
      <c r="H311">
        <v>2</v>
      </c>
      <c r="I311">
        <v>6</v>
      </c>
      <c r="J311" t="s">
        <v>68</v>
      </c>
      <c r="K311" t="s">
        <v>57</v>
      </c>
      <c r="L311" t="s">
        <v>62</v>
      </c>
      <c r="M311" t="s">
        <v>410</v>
      </c>
      <c r="N311" t="b">
        <v>0</v>
      </c>
      <c r="O311" t="b">
        <v>0</v>
      </c>
    </row>
    <row r="312" spans="1:15">
      <c r="A312">
        <v>311</v>
      </c>
      <c r="B312" s="1">
        <v>45313.372766203705</v>
      </c>
      <c r="C312" s="2">
        <v>45313.603747685185</v>
      </c>
      <c r="D312" s="2">
        <v>45314.933444768518</v>
      </c>
      <c r="E312" t="s">
        <v>11</v>
      </c>
      <c r="F312" t="s">
        <v>2</v>
      </c>
      <c r="G312" t="s">
        <v>17</v>
      </c>
      <c r="H312">
        <v>1</v>
      </c>
      <c r="I312">
        <v>3</v>
      </c>
      <c r="J312" t="s">
        <v>35</v>
      </c>
      <c r="K312" t="s">
        <v>71</v>
      </c>
      <c r="L312" t="s">
        <v>134</v>
      </c>
      <c r="M312" t="s">
        <v>411</v>
      </c>
      <c r="N312" t="b">
        <v>0</v>
      </c>
      <c r="O312" t="b">
        <v>0</v>
      </c>
    </row>
    <row r="313" spans="1:15">
      <c r="A313">
        <v>312</v>
      </c>
      <c r="B313" s="1">
        <v>45313.419490740744</v>
      </c>
      <c r="C313" s="2">
        <v>45313.706240590276</v>
      </c>
      <c r="D313" s="2">
        <v>45314.293665092591</v>
      </c>
      <c r="E313" t="s">
        <v>10</v>
      </c>
      <c r="F313" t="s">
        <v>4</v>
      </c>
      <c r="G313" t="s">
        <v>15</v>
      </c>
      <c r="H313">
        <v>2</v>
      </c>
      <c r="I313">
        <v>2</v>
      </c>
      <c r="J313" t="s">
        <v>52</v>
      </c>
      <c r="K313" t="s">
        <v>57</v>
      </c>
      <c r="L313" t="s">
        <v>89</v>
      </c>
      <c r="M313" t="s">
        <v>412</v>
      </c>
      <c r="N313" t="b">
        <v>0</v>
      </c>
      <c r="O313" t="b">
        <v>0</v>
      </c>
    </row>
    <row r="314" spans="1:15">
      <c r="A314">
        <v>313</v>
      </c>
      <c r="B314" s="1">
        <v>45313.433912037035</v>
      </c>
      <c r="C314" s="2">
        <v>45313.784442488424</v>
      </c>
      <c r="D314" s="2">
        <v>45316.164644363424</v>
      </c>
      <c r="E314" t="s">
        <v>11</v>
      </c>
      <c r="F314" t="s">
        <v>4</v>
      </c>
      <c r="G314" t="s">
        <v>15</v>
      </c>
      <c r="H314">
        <v>6</v>
      </c>
      <c r="I314">
        <v>3</v>
      </c>
      <c r="J314" t="s">
        <v>52</v>
      </c>
      <c r="K314" t="s">
        <v>73</v>
      </c>
      <c r="L314" t="s">
        <v>106</v>
      </c>
      <c r="M314" t="s">
        <v>413</v>
      </c>
      <c r="N314" t="b">
        <v>1</v>
      </c>
      <c r="O314" t="b">
        <v>0</v>
      </c>
    </row>
    <row r="315" spans="1:15">
      <c r="A315">
        <v>314</v>
      </c>
      <c r="B315" s="1">
        <v>45313.57136574074</v>
      </c>
      <c r="C315" s="2">
        <v>45313.661957708333</v>
      </c>
      <c r="E315" t="s">
        <v>10</v>
      </c>
      <c r="F315" t="s">
        <v>80</v>
      </c>
      <c r="G315" t="s">
        <v>17</v>
      </c>
      <c r="H315">
        <v>1</v>
      </c>
      <c r="I315">
        <v>1</v>
      </c>
      <c r="J315" t="s">
        <v>39</v>
      </c>
      <c r="K315" t="s">
        <v>71</v>
      </c>
      <c r="L315" t="s">
        <v>250</v>
      </c>
      <c r="M315" t="s">
        <v>414</v>
      </c>
      <c r="N315" t="b">
        <v>0</v>
      </c>
      <c r="O315" t="b">
        <v>0</v>
      </c>
    </row>
    <row r="316" spans="1:15">
      <c r="A316">
        <v>315</v>
      </c>
      <c r="B316" s="1">
        <v>45313.633912037039</v>
      </c>
      <c r="C316" s="2">
        <v>45313.892754675922</v>
      </c>
      <c r="D316" s="2">
        <v>45314.25890148148</v>
      </c>
      <c r="E316" t="s">
        <v>10</v>
      </c>
      <c r="F316" t="s">
        <v>2</v>
      </c>
      <c r="G316" t="s">
        <v>15</v>
      </c>
      <c r="H316">
        <v>2</v>
      </c>
      <c r="I316">
        <v>3</v>
      </c>
      <c r="J316" t="s">
        <v>49</v>
      </c>
      <c r="K316" t="s">
        <v>57</v>
      </c>
      <c r="L316" t="s">
        <v>156</v>
      </c>
      <c r="M316" t="s">
        <v>415</v>
      </c>
      <c r="N316" t="b">
        <v>0</v>
      </c>
      <c r="O316" t="b">
        <v>0</v>
      </c>
    </row>
    <row r="317" spans="1:15">
      <c r="A317">
        <v>316</v>
      </c>
      <c r="B317" s="1">
        <v>45313.721377314818</v>
      </c>
      <c r="C317" s="2">
        <v>45313.8409546412</v>
      </c>
      <c r="D317" s="2">
        <v>45316.635039421293</v>
      </c>
      <c r="E317" t="s">
        <v>11</v>
      </c>
      <c r="F317" t="s">
        <v>2</v>
      </c>
      <c r="G317" t="s">
        <v>14</v>
      </c>
      <c r="H317">
        <v>1</v>
      </c>
      <c r="I317">
        <v>6</v>
      </c>
      <c r="J317" t="s">
        <v>35</v>
      </c>
      <c r="K317" t="s">
        <v>71</v>
      </c>
      <c r="L317" t="s">
        <v>47</v>
      </c>
      <c r="M317" t="s">
        <v>416</v>
      </c>
      <c r="N317" t="b">
        <v>1</v>
      </c>
      <c r="O317" t="b">
        <v>0</v>
      </c>
    </row>
    <row r="318" spans="1:15">
      <c r="A318">
        <v>317</v>
      </c>
      <c r="B318" s="1">
        <v>45313.784108796295</v>
      </c>
      <c r="C318" s="2">
        <v>45313.840172141201</v>
      </c>
      <c r="D318" s="2">
        <v>45313.920999965281</v>
      </c>
      <c r="E318" t="s">
        <v>9</v>
      </c>
      <c r="F318" t="s">
        <v>2</v>
      </c>
      <c r="G318" t="s">
        <v>17</v>
      </c>
      <c r="H318">
        <v>6</v>
      </c>
      <c r="I318">
        <v>9</v>
      </c>
      <c r="J318" t="s">
        <v>35</v>
      </c>
      <c r="K318" t="s">
        <v>73</v>
      </c>
      <c r="L318" t="s">
        <v>96</v>
      </c>
      <c r="M318" t="s">
        <v>417</v>
      </c>
      <c r="N318" t="b">
        <v>0</v>
      </c>
      <c r="O318" t="b">
        <v>0</v>
      </c>
    </row>
    <row r="319" spans="1:15">
      <c r="A319">
        <v>318</v>
      </c>
      <c r="B319" s="1">
        <v>45313.784421296295</v>
      </c>
      <c r="C319" s="2">
        <v>45313.876034791669</v>
      </c>
      <c r="D319" s="2">
        <v>45314.602488090277</v>
      </c>
      <c r="E319" t="s">
        <v>10</v>
      </c>
      <c r="F319" t="s">
        <v>4</v>
      </c>
      <c r="G319" t="s">
        <v>16</v>
      </c>
      <c r="H319">
        <v>7</v>
      </c>
      <c r="I319">
        <v>9</v>
      </c>
      <c r="J319" t="s">
        <v>52</v>
      </c>
      <c r="K319" t="s">
        <v>43</v>
      </c>
      <c r="L319" t="s">
        <v>81</v>
      </c>
      <c r="M319" t="s">
        <v>418</v>
      </c>
      <c r="N319" t="b">
        <v>0</v>
      </c>
      <c r="O319" t="b">
        <v>0</v>
      </c>
    </row>
    <row r="320" spans="1:15">
      <c r="A320">
        <v>319</v>
      </c>
      <c r="B320" s="1">
        <v>45314.046041666668</v>
      </c>
      <c r="C320" s="2">
        <v>45314.127585486109</v>
      </c>
      <c r="D320" s="2">
        <v>45314.270359374997</v>
      </c>
      <c r="E320" t="s">
        <v>9</v>
      </c>
      <c r="F320" t="s">
        <v>4</v>
      </c>
      <c r="G320" t="s">
        <v>15</v>
      </c>
      <c r="H320">
        <v>5</v>
      </c>
      <c r="I320">
        <v>7</v>
      </c>
      <c r="J320" t="s">
        <v>52</v>
      </c>
      <c r="K320" t="s">
        <v>32</v>
      </c>
      <c r="L320" t="s">
        <v>41</v>
      </c>
      <c r="M320" t="s">
        <v>419</v>
      </c>
      <c r="N320" t="b">
        <v>0</v>
      </c>
      <c r="O320" t="b">
        <v>0</v>
      </c>
    </row>
    <row r="321" spans="1:15">
      <c r="A321">
        <v>320</v>
      </c>
      <c r="B321" s="1">
        <v>45314.16196759259</v>
      </c>
      <c r="C321" s="2">
        <v>45314.523953784723</v>
      </c>
      <c r="D321" s="2">
        <v>45315.755657951391</v>
      </c>
      <c r="E321" t="s">
        <v>11</v>
      </c>
      <c r="F321" t="s">
        <v>4</v>
      </c>
      <c r="G321" t="s">
        <v>17</v>
      </c>
      <c r="H321">
        <v>8</v>
      </c>
      <c r="I321">
        <v>4</v>
      </c>
      <c r="J321" t="s">
        <v>49</v>
      </c>
      <c r="K321" t="s">
        <v>36</v>
      </c>
      <c r="L321" t="s">
        <v>127</v>
      </c>
      <c r="M321" t="s">
        <v>420</v>
      </c>
      <c r="N321" t="b">
        <v>0</v>
      </c>
      <c r="O321" t="b">
        <v>0</v>
      </c>
    </row>
    <row r="322" spans="1:15">
      <c r="A322">
        <v>321</v>
      </c>
      <c r="B322" s="1">
        <v>45314.1953587963</v>
      </c>
      <c r="C322" s="2">
        <v>45314.360281516201</v>
      </c>
      <c r="D322" s="2">
        <v>45314.728492256945</v>
      </c>
      <c r="E322" t="s">
        <v>10</v>
      </c>
      <c r="F322" t="s">
        <v>4</v>
      </c>
      <c r="G322" t="s">
        <v>16</v>
      </c>
      <c r="H322">
        <v>6</v>
      </c>
      <c r="I322">
        <v>10</v>
      </c>
      <c r="J322" t="s">
        <v>68</v>
      </c>
      <c r="K322" t="s">
        <v>73</v>
      </c>
      <c r="L322" t="s">
        <v>60</v>
      </c>
      <c r="M322" t="s">
        <v>421</v>
      </c>
      <c r="N322" t="b">
        <v>0</v>
      </c>
      <c r="O322" t="b">
        <v>0</v>
      </c>
    </row>
    <row r="323" spans="1:15">
      <c r="A323">
        <v>322</v>
      </c>
      <c r="B323" s="1">
        <v>45314.237025462964</v>
      </c>
      <c r="C323" s="2">
        <v>45314.310150625002</v>
      </c>
      <c r="D323" s="2">
        <v>45314.812842905092</v>
      </c>
      <c r="E323" t="s">
        <v>10</v>
      </c>
      <c r="F323" t="s">
        <v>4</v>
      </c>
      <c r="G323" t="s">
        <v>16</v>
      </c>
      <c r="H323">
        <v>7</v>
      </c>
      <c r="I323">
        <v>10</v>
      </c>
      <c r="J323" t="s">
        <v>39</v>
      </c>
      <c r="K323" t="s">
        <v>43</v>
      </c>
      <c r="L323" t="s">
        <v>117</v>
      </c>
      <c r="M323" t="s">
        <v>422</v>
      </c>
      <c r="N323" t="b">
        <v>0</v>
      </c>
      <c r="O323" t="b">
        <v>0</v>
      </c>
    </row>
    <row r="324" spans="1:15">
      <c r="A324">
        <v>323</v>
      </c>
      <c r="B324" s="1">
        <v>45314.325567129628</v>
      </c>
      <c r="C324" s="2">
        <v>45314.436881944443</v>
      </c>
      <c r="D324" s="2">
        <v>45314.607475405093</v>
      </c>
      <c r="E324" t="s">
        <v>9</v>
      </c>
      <c r="F324" t="s">
        <v>4</v>
      </c>
      <c r="G324" t="s">
        <v>17</v>
      </c>
      <c r="H324">
        <v>3</v>
      </c>
      <c r="I324">
        <v>4</v>
      </c>
      <c r="J324" t="s">
        <v>68</v>
      </c>
      <c r="K324" t="s">
        <v>46</v>
      </c>
      <c r="L324" t="s">
        <v>124</v>
      </c>
      <c r="M324" t="s">
        <v>423</v>
      </c>
      <c r="N324" t="b">
        <v>0</v>
      </c>
      <c r="O324" t="b">
        <v>0</v>
      </c>
    </row>
    <row r="325" spans="1:15">
      <c r="A325">
        <v>324</v>
      </c>
      <c r="B325" s="1">
        <v>45314.338796296295</v>
      </c>
      <c r="C325" s="2">
        <v>45314.861845011575</v>
      </c>
      <c r="E325" t="s">
        <v>11</v>
      </c>
      <c r="F325" t="s">
        <v>3</v>
      </c>
      <c r="G325" t="s">
        <v>15</v>
      </c>
      <c r="H325">
        <v>7</v>
      </c>
      <c r="I325">
        <v>1</v>
      </c>
      <c r="J325" t="s">
        <v>52</v>
      </c>
      <c r="K325" t="s">
        <v>43</v>
      </c>
      <c r="L325" t="s">
        <v>110</v>
      </c>
      <c r="M325" t="s">
        <v>424</v>
      </c>
      <c r="N325" t="b">
        <v>0</v>
      </c>
      <c r="O325" t="b">
        <v>0</v>
      </c>
    </row>
    <row r="326" spans="1:15">
      <c r="A326">
        <v>325</v>
      </c>
      <c r="B326" s="1">
        <v>45314.409675925926</v>
      </c>
      <c r="C326" s="2">
        <v>45314.465736284721</v>
      </c>
      <c r="D326" s="2">
        <v>45315.363875104165</v>
      </c>
      <c r="E326" t="s">
        <v>10</v>
      </c>
      <c r="F326" t="s">
        <v>4</v>
      </c>
      <c r="G326" t="s">
        <v>17</v>
      </c>
      <c r="H326">
        <v>6</v>
      </c>
      <c r="I326">
        <v>5</v>
      </c>
      <c r="J326" t="s">
        <v>49</v>
      </c>
      <c r="K326" t="s">
        <v>73</v>
      </c>
      <c r="L326" t="s">
        <v>93</v>
      </c>
      <c r="M326" t="s">
        <v>425</v>
      </c>
      <c r="N326" t="b">
        <v>1</v>
      </c>
      <c r="O326" t="b">
        <v>0</v>
      </c>
    </row>
    <row r="327" spans="1:15">
      <c r="A327">
        <v>326</v>
      </c>
      <c r="B327" s="1">
        <v>45314.563379629632</v>
      </c>
      <c r="C327" s="2">
        <v>45314.837438657407</v>
      </c>
      <c r="D327" s="2">
        <v>45315.237105231485</v>
      </c>
      <c r="E327" t="s">
        <v>10</v>
      </c>
      <c r="F327" t="s">
        <v>4</v>
      </c>
      <c r="G327" t="s">
        <v>17</v>
      </c>
      <c r="H327">
        <v>1</v>
      </c>
      <c r="I327">
        <v>5</v>
      </c>
      <c r="J327" t="s">
        <v>68</v>
      </c>
      <c r="K327" t="s">
        <v>71</v>
      </c>
      <c r="L327" t="s">
        <v>58</v>
      </c>
      <c r="M327" t="s">
        <v>426</v>
      </c>
      <c r="N327" t="b">
        <v>0</v>
      </c>
      <c r="O327" t="b">
        <v>0</v>
      </c>
    </row>
    <row r="328" spans="1:15">
      <c r="A328">
        <v>327</v>
      </c>
      <c r="B328" s="1">
        <v>45314.694594907407</v>
      </c>
      <c r="C328" s="2">
        <v>45314.817763437502</v>
      </c>
      <c r="D328" s="2">
        <v>45314.8228815162</v>
      </c>
      <c r="E328" t="s">
        <v>9</v>
      </c>
      <c r="F328" t="s">
        <v>4</v>
      </c>
      <c r="G328" t="s">
        <v>15</v>
      </c>
      <c r="H328">
        <v>1</v>
      </c>
      <c r="I328">
        <v>7</v>
      </c>
      <c r="J328" t="s">
        <v>35</v>
      </c>
      <c r="K328" t="s">
        <v>71</v>
      </c>
      <c r="L328" t="s">
        <v>41</v>
      </c>
      <c r="M328" t="s">
        <v>427</v>
      </c>
      <c r="N328" t="b">
        <v>0</v>
      </c>
      <c r="O328" t="b">
        <v>0</v>
      </c>
    </row>
    <row r="329" spans="1:15">
      <c r="A329">
        <v>328</v>
      </c>
      <c r="B329" s="1">
        <v>45314.737523148149</v>
      </c>
      <c r="C329" s="2">
        <v>45314.89932315972</v>
      </c>
      <c r="D329" s="2">
        <v>45315.330830891202</v>
      </c>
      <c r="E329" t="s">
        <v>10</v>
      </c>
      <c r="F329" t="s">
        <v>4</v>
      </c>
      <c r="G329" t="s">
        <v>15</v>
      </c>
      <c r="H329">
        <v>8</v>
      </c>
      <c r="I329">
        <v>2</v>
      </c>
      <c r="J329" t="s">
        <v>35</v>
      </c>
      <c r="K329" t="s">
        <v>36</v>
      </c>
      <c r="L329" t="s">
        <v>41</v>
      </c>
      <c r="M329" t="s">
        <v>428</v>
      </c>
      <c r="N329" t="b">
        <v>0</v>
      </c>
      <c r="O329" t="b">
        <v>0</v>
      </c>
    </row>
    <row r="330" spans="1:15">
      <c r="A330">
        <v>329</v>
      </c>
      <c r="B330" s="1">
        <v>45314.905358796299</v>
      </c>
      <c r="C330" s="2">
        <v>45315.230719618055</v>
      </c>
      <c r="D330" s="2">
        <v>45315.472213553243</v>
      </c>
      <c r="E330" t="s">
        <v>10</v>
      </c>
      <c r="F330" t="s">
        <v>2</v>
      </c>
      <c r="G330" t="s">
        <v>17</v>
      </c>
      <c r="H330">
        <v>3</v>
      </c>
      <c r="I330">
        <v>6</v>
      </c>
      <c r="J330" t="s">
        <v>31</v>
      </c>
      <c r="K330" t="s">
        <v>46</v>
      </c>
      <c r="L330" t="s">
        <v>164</v>
      </c>
      <c r="M330" t="s">
        <v>429</v>
      </c>
      <c r="N330" t="b">
        <v>0</v>
      </c>
      <c r="O330" t="b">
        <v>0</v>
      </c>
    </row>
    <row r="331" spans="1:15">
      <c r="A331">
        <v>330</v>
      </c>
      <c r="B331" s="1">
        <v>45315.058252314811</v>
      </c>
      <c r="C331" s="2">
        <v>45315.345935486112</v>
      </c>
      <c r="D331" s="2">
        <v>45316.08772491898</v>
      </c>
      <c r="E331" t="s">
        <v>11</v>
      </c>
      <c r="F331" t="s">
        <v>4</v>
      </c>
      <c r="G331" t="s">
        <v>15</v>
      </c>
      <c r="H331">
        <v>4</v>
      </c>
      <c r="I331">
        <v>4</v>
      </c>
      <c r="J331" t="s">
        <v>35</v>
      </c>
      <c r="K331" t="s">
        <v>40</v>
      </c>
      <c r="L331" t="s">
        <v>110</v>
      </c>
      <c r="M331" t="s">
        <v>430</v>
      </c>
      <c r="N331" t="b">
        <v>0</v>
      </c>
      <c r="O331" t="b">
        <v>0</v>
      </c>
    </row>
    <row r="332" spans="1:15">
      <c r="A332">
        <v>331</v>
      </c>
      <c r="B332" s="1">
        <v>45315.130393518521</v>
      </c>
      <c r="C332" s="2">
        <v>45315.636591562499</v>
      </c>
      <c r="D332" s="2">
        <v>45316.188030613426</v>
      </c>
      <c r="E332" t="s">
        <v>11</v>
      </c>
      <c r="F332" t="s">
        <v>4</v>
      </c>
      <c r="G332" t="s">
        <v>16</v>
      </c>
      <c r="H332">
        <v>7</v>
      </c>
      <c r="I332">
        <v>5</v>
      </c>
      <c r="J332" t="s">
        <v>49</v>
      </c>
      <c r="K332" t="s">
        <v>43</v>
      </c>
      <c r="L332" t="s">
        <v>53</v>
      </c>
      <c r="M332" t="s">
        <v>431</v>
      </c>
      <c r="N332" t="b">
        <v>0</v>
      </c>
      <c r="O332" t="b">
        <v>0</v>
      </c>
    </row>
    <row r="333" spans="1:15">
      <c r="A333">
        <v>332</v>
      </c>
      <c r="B333" s="1">
        <v>45315.253935185188</v>
      </c>
      <c r="C333" s="2">
        <v>45315.265355729163</v>
      </c>
      <c r="D333" s="2">
        <v>45315.307501921299</v>
      </c>
      <c r="E333" t="s">
        <v>8</v>
      </c>
      <c r="F333" t="s">
        <v>4</v>
      </c>
      <c r="G333" t="s">
        <v>15</v>
      </c>
      <c r="H333">
        <v>7</v>
      </c>
      <c r="I333">
        <v>1</v>
      </c>
      <c r="J333" t="s">
        <v>31</v>
      </c>
      <c r="K333" t="s">
        <v>43</v>
      </c>
      <c r="L333" t="s">
        <v>156</v>
      </c>
      <c r="M333" t="s">
        <v>432</v>
      </c>
      <c r="N333" t="b">
        <v>1</v>
      </c>
      <c r="O333" t="b">
        <v>0</v>
      </c>
    </row>
    <row r="334" spans="1:15">
      <c r="A334">
        <v>333</v>
      </c>
      <c r="B334" s="1">
        <v>45315.255972222221</v>
      </c>
      <c r="C334" s="2">
        <v>45315.459375335646</v>
      </c>
      <c r="D334" s="2">
        <v>45316.108340925923</v>
      </c>
      <c r="E334" t="s">
        <v>10</v>
      </c>
      <c r="F334" t="s">
        <v>2</v>
      </c>
      <c r="G334" t="s">
        <v>16</v>
      </c>
      <c r="H334">
        <v>1</v>
      </c>
      <c r="I334">
        <v>6</v>
      </c>
      <c r="J334" t="s">
        <v>52</v>
      </c>
      <c r="K334" t="s">
        <v>71</v>
      </c>
      <c r="L334" t="s">
        <v>100</v>
      </c>
      <c r="M334" t="s">
        <v>433</v>
      </c>
      <c r="N334" t="b">
        <v>0</v>
      </c>
      <c r="O334" t="b">
        <v>0</v>
      </c>
    </row>
    <row r="335" spans="1:15">
      <c r="A335">
        <v>334</v>
      </c>
      <c r="B335" s="1">
        <v>45315.268611111111</v>
      </c>
      <c r="C335" s="2">
        <v>45315.53692189815</v>
      </c>
      <c r="D335" s="2">
        <v>45315.864263622687</v>
      </c>
      <c r="E335" t="s">
        <v>10</v>
      </c>
      <c r="F335" t="s">
        <v>2</v>
      </c>
      <c r="G335" t="s">
        <v>17</v>
      </c>
      <c r="H335">
        <v>5</v>
      </c>
      <c r="I335">
        <v>1</v>
      </c>
      <c r="J335" t="s">
        <v>49</v>
      </c>
      <c r="K335" t="s">
        <v>32</v>
      </c>
      <c r="L335" t="s">
        <v>284</v>
      </c>
      <c r="M335" t="s">
        <v>434</v>
      </c>
      <c r="N335" t="b">
        <v>0</v>
      </c>
      <c r="O335" t="b">
        <v>0</v>
      </c>
    </row>
    <row r="336" spans="1:15">
      <c r="A336">
        <v>335</v>
      </c>
      <c r="B336" s="1">
        <v>45315.272766203707</v>
      </c>
      <c r="C336" s="2">
        <v>45315.306698287037</v>
      </c>
      <c r="D336" s="2">
        <v>45315.341803611111</v>
      </c>
      <c r="E336" t="s">
        <v>8</v>
      </c>
      <c r="F336" t="s">
        <v>4</v>
      </c>
      <c r="G336" t="s">
        <v>16</v>
      </c>
      <c r="H336">
        <v>8</v>
      </c>
      <c r="I336">
        <v>9</v>
      </c>
      <c r="J336" t="s">
        <v>31</v>
      </c>
      <c r="K336" t="s">
        <v>36</v>
      </c>
      <c r="L336" t="s">
        <v>62</v>
      </c>
      <c r="M336" t="s">
        <v>435</v>
      </c>
      <c r="N336" t="b">
        <v>1</v>
      </c>
      <c r="O336" t="b">
        <v>0</v>
      </c>
    </row>
    <row r="337" spans="1:15">
      <c r="A337">
        <v>336</v>
      </c>
      <c r="B337" s="1">
        <v>45315.312314814815</v>
      </c>
      <c r="C337" s="2">
        <v>45315.430549305558</v>
      </c>
      <c r="D337" s="2">
        <v>45315.66270458333</v>
      </c>
      <c r="E337" t="s">
        <v>10</v>
      </c>
      <c r="F337" t="s">
        <v>4</v>
      </c>
      <c r="G337" t="s">
        <v>14</v>
      </c>
      <c r="H337">
        <v>3</v>
      </c>
      <c r="I337">
        <v>8</v>
      </c>
      <c r="J337" t="s">
        <v>35</v>
      </c>
      <c r="K337" t="s">
        <v>46</v>
      </c>
      <c r="L337" t="s">
        <v>58</v>
      </c>
      <c r="M337" t="s">
        <v>436</v>
      </c>
      <c r="N337" t="b">
        <v>0</v>
      </c>
      <c r="O337" t="b">
        <v>0</v>
      </c>
    </row>
    <row r="338" spans="1:15">
      <c r="A338">
        <v>337</v>
      </c>
      <c r="B338" s="1">
        <v>45315.342673611114</v>
      </c>
      <c r="C338" s="2">
        <v>45315.649910902779</v>
      </c>
      <c r="D338" s="2">
        <v>45315.59582159722</v>
      </c>
      <c r="E338" t="s">
        <v>10</v>
      </c>
      <c r="F338" t="s">
        <v>4</v>
      </c>
      <c r="G338" t="s">
        <v>15</v>
      </c>
      <c r="H338">
        <v>5</v>
      </c>
      <c r="I338">
        <v>10</v>
      </c>
      <c r="J338" t="s">
        <v>31</v>
      </c>
      <c r="K338" t="s">
        <v>32</v>
      </c>
      <c r="L338" t="s">
        <v>50</v>
      </c>
      <c r="M338" t="s">
        <v>437</v>
      </c>
      <c r="N338" t="b">
        <v>0</v>
      </c>
      <c r="O338" t="b">
        <v>0</v>
      </c>
    </row>
    <row r="339" spans="1:15">
      <c r="A339">
        <v>338</v>
      </c>
      <c r="B339" s="1">
        <v>45315.468865740739</v>
      </c>
      <c r="C339" s="2">
        <v>45316.105363506947</v>
      </c>
      <c r="D339" s="2">
        <v>45317.592232754629</v>
      </c>
      <c r="E339" t="s">
        <v>11</v>
      </c>
      <c r="F339" t="s">
        <v>4</v>
      </c>
      <c r="G339" t="s">
        <v>15</v>
      </c>
      <c r="H339">
        <v>3</v>
      </c>
      <c r="I339">
        <v>7</v>
      </c>
      <c r="J339" t="s">
        <v>49</v>
      </c>
      <c r="K339" t="s">
        <v>46</v>
      </c>
      <c r="L339" t="s">
        <v>47</v>
      </c>
      <c r="M339" t="s">
        <v>438</v>
      </c>
      <c r="N339" t="b">
        <v>0</v>
      </c>
      <c r="O339" t="b">
        <v>0</v>
      </c>
    </row>
    <row r="340" spans="1:15">
      <c r="A340">
        <v>339</v>
      </c>
      <c r="B340" s="1">
        <v>45315.493541666663</v>
      </c>
      <c r="C340" s="2">
        <v>45315.684159050928</v>
      </c>
      <c r="D340" s="2">
        <v>45315.874790243055</v>
      </c>
      <c r="E340" t="s">
        <v>10</v>
      </c>
      <c r="F340" t="s">
        <v>4</v>
      </c>
      <c r="G340" t="s">
        <v>15</v>
      </c>
      <c r="H340">
        <v>6</v>
      </c>
      <c r="I340">
        <v>10</v>
      </c>
      <c r="J340" t="s">
        <v>68</v>
      </c>
      <c r="K340" t="s">
        <v>73</v>
      </c>
      <c r="L340" t="s">
        <v>284</v>
      </c>
      <c r="M340" t="s">
        <v>439</v>
      </c>
      <c r="N340" t="b">
        <v>0</v>
      </c>
      <c r="O340" t="b">
        <v>0</v>
      </c>
    </row>
    <row r="341" spans="1:15">
      <c r="A341">
        <v>340</v>
      </c>
      <c r="B341" s="1">
        <v>45315.672256944446</v>
      </c>
      <c r="C341" s="2">
        <v>45315.901502766203</v>
      </c>
      <c r="D341" s="2">
        <v>45316.11163363426</v>
      </c>
      <c r="E341" t="s">
        <v>10</v>
      </c>
      <c r="F341" t="s">
        <v>2</v>
      </c>
      <c r="G341" t="s">
        <v>14</v>
      </c>
      <c r="H341">
        <v>1</v>
      </c>
      <c r="I341">
        <v>3</v>
      </c>
      <c r="J341" t="s">
        <v>39</v>
      </c>
      <c r="K341" t="s">
        <v>71</v>
      </c>
      <c r="L341" t="s">
        <v>127</v>
      </c>
      <c r="M341" t="s">
        <v>440</v>
      </c>
      <c r="N341" t="b">
        <v>0</v>
      </c>
      <c r="O341" t="b">
        <v>0</v>
      </c>
    </row>
    <row r="342" spans="1:15">
      <c r="A342">
        <v>341</v>
      </c>
      <c r="B342" s="1">
        <v>45315.703784722224</v>
      </c>
      <c r="C342" s="2">
        <v>45316.214487199075</v>
      </c>
      <c r="D342" s="2">
        <v>45316.67522834491</v>
      </c>
      <c r="E342" t="s">
        <v>11</v>
      </c>
      <c r="F342" t="s">
        <v>4</v>
      </c>
      <c r="G342" t="s">
        <v>15</v>
      </c>
      <c r="H342">
        <v>5</v>
      </c>
      <c r="I342">
        <v>1</v>
      </c>
      <c r="J342" t="s">
        <v>39</v>
      </c>
      <c r="K342" t="s">
        <v>32</v>
      </c>
      <c r="L342" t="s">
        <v>284</v>
      </c>
      <c r="M342" t="s">
        <v>441</v>
      </c>
      <c r="N342" t="b">
        <v>0</v>
      </c>
      <c r="O342" t="b">
        <v>0</v>
      </c>
    </row>
    <row r="343" spans="1:15">
      <c r="A343">
        <v>342</v>
      </c>
      <c r="B343" s="1">
        <v>45315.749513888892</v>
      </c>
      <c r="C343" s="2">
        <v>45316.010111550924</v>
      </c>
      <c r="D343" s="2">
        <v>45316.137869687504</v>
      </c>
      <c r="E343" t="s">
        <v>10</v>
      </c>
      <c r="F343" t="s">
        <v>4</v>
      </c>
      <c r="G343" t="s">
        <v>14</v>
      </c>
      <c r="H343">
        <v>4</v>
      </c>
      <c r="I343">
        <v>10</v>
      </c>
      <c r="J343" t="s">
        <v>39</v>
      </c>
      <c r="K343" t="s">
        <v>40</v>
      </c>
      <c r="L343" t="s">
        <v>253</v>
      </c>
      <c r="M343" t="s">
        <v>442</v>
      </c>
      <c r="N343" t="b">
        <v>0</v>
      </c>
      <c r="O343" t="b">
        <v>0</v>
      </c>
    </row>
    <row r="344" spans="1:15">
      <c r="A344">
        <v>343</v>
      </c>
      <c r="B344" s="1">
        <v>45315.94835648148</v>
      </c>
      <c r="C344" s="2">
        <v>45316.017394722221</v>
      </c>
      <c r="D344" s="2">
        <v>45316.250729004627</v>
      </c>
      <c r="E344" t="s">
        <v>9</v>
      </c>
      <c r="F344" t="s">
        <v>4</v>
      </c>
      <c r="G344" t="s">
        <v>14</v>
      </c>
      <c r="H344">
        <v>6</v>
      </c>
      <c r="I344">
        <v>7</v>
      </c>
      <c r="J344" t="s">
        <v>49</v>
      </c>
      <c r="K344" t="s">
        <v>73</v>
      </c>
      <c r="L344" t="s">
        <v>124</v>
      </c>
      <c r="M344" t="s">
        <v>443</v>
      </c>
      <c r="N344" t="b">
        <v>1</v>
      </c>
      <c r="O344" t="b">
        <v>0</v>
      </c>
    </row>
    <row r="345" spans="1:15">
      <c r="A345">
        <v>344</v>
      </c>
      <c r="B345" s="1">
        <v>45315.974120370367</v>
      </c>
      <c r="C345" s="2">
        <v>45316.284365150466</v>
      </c>
      <c r="D345" s="2">
        <v>45316.253793344906</v>
      </c>
      <c r="E345" t="s">
        <v>10</v>
      </c>
      <c r="F345" t="s">
        <v>4</v>
      </c>
      <c r="G345" t="s">
        <v>17</v>
      </c>
      <c r="H345">
        <v>4</v>
      </c>
      <c r="I345">
        <v>7</v>
      </c>
      <c r="J345" t="s">
        <v>39</v>
      </c>
      <c r="K345" t="s">
        <v>40</v>
      </c>
      <c r="L345" t="s">
        <v>44</v>
      </c>
      <c r="M345" t="s">
        <v>444</v>
      </c>
      <c r="N345" t="b">
        <v>0</v>
      </c>
      <c r="O345" t="b">
        <v>0</v>
      </c>
    </row>
    <row r="346" spans="1:15">
      <c r="A346">
        <v>345</v>
      </c>
      <c r="B346" s="1">
        <v>45315.981504629628</v>
      </c>
      <c r="C346" s="2">
        <v>45316.745384571761</v>
      </c>
      <c r="D346" s="2">
        <v>45318.24419503472</v>
      </c>
      <c r="E346" t="s">
        <v>11</v>
      </c>
      <c r="F346" t="s">
        <v>4</v>
      </c>
      <c r="G346" t="s">
        <v>17</v>
      </c>
      <c r="H346">
        <v>8</v>
      </c>
      <c r="I346">
        <v>3</v>
      </c>
      <c r="J346" t="s">
        <v>31</v>
      </c>
      <c r="K346" t="s">
        <v>36</v>
      </c>
      <c r="L346" t="s">
        <v>78</v>
      </c>
      <c r="M346" t="s">
        <v>445</v>
      </c>
      <c r="N346" t="b">
        <v>0</v>
      </c>
      <c r="O346" t="b">
        <v>0</v>
      </c>
    </row>
    <row r="347" spans="1:15">
      <c r="A347">
        <v>346</v>
      </c>
      <c r="B347" s="1">
        <v>45316.116620370369</v>
      </c>
      <c r="C347" s="2">
        <v>45316.303974606482</v>
      </c>
      <c r="D347" s="2">
        <v>45317.014463946762</v>
      </c>
      <c r="E347" t="s">
        <v>10</v>
      </c>
      <c r="F347" t="s">
        <v>2</v>
      </c>
      <c r="G347" t="s">
        <v>16</v>
      </c>
      <c r="H347">
        <v>8</v>
      </c>
      <c r="I347">
        <v>4</v>
      </c>
      <c r="J347" t="s">
        <v>68</v>
      </c>
      <c r="K347" t="s">
        <v>36</v>
      </c>
      <c r="L347" t="s">
        <v>171</v>
      </c>
      <c r="M347" t="s">
        <v>446</v>
      </c>
      <c r="N347" t="b">
        <v>0</v>
      </c>
      <c r="O347" t="b">
        <v>0</v>
      </c>
    </row>
    <row r="348" spans="1:15">
      <c r="A348">
        <v>347</v>
      </c>
      <c r="B348" s="1">
        <v>45316.133877314816</v>
      </c>
      <c r="C348" s="2">
        <v>45316.466525995369</v>
      </c>
      <c r="D348" s="2">
        <v>45316.892686701387</v>
      </c>
      <c r="E348" t="s">
        <v>10</v>
      </c>
      <c r="F348" t="s">
        <v>4</v>
      </c>
      <c r="G348" t="s">
        <v>14</v>
      </c>
      <c r="H348">
        <v>3</v>
      </c>
      <c r="I348">
        <v>7</v>
      </c>
      <c r="J348" t="s">
        <v>49</v>
      </c>
      <c r="K348" t="s">
        <v>46</v>
      </c>
      <c r="L348" t="s">
        <v>102</v>
      </c>
      <c r="M348" t="s">
        <v>447</v>
      </c>
      <c r="N348" t="b">
        <v>0</v>
      </c>
      <c r="O348" t="b">
        <v>0</v>
      </c>
    </row>
    <row r="349" spans="1:15">
      <c r="A349">
        <v>348</v>
      </c>
      <c r="B349" s="1">
        <v>45316.269675925927</v>
      </c>
      <c r="C349" s="2">
        <v>45316.503489409719</v>
      </c>
      <c r="D349" s="2">
        <v>45316.941614189818</v>
      </c>
      <c r="E349" t="s">
        <v>10</v>
      </c>
      <c r="F349" t="s">
        <v>4</v>
      </c>
      <c r="G349" t="s">
        <v>15</v>
      </c>
      <c r="H349">
        <v>1</v>
      </c>
      <c r="I349">
        <v>5</v>
      </c>
      <c r="J349" t="s">
        <v>39</v>
      </c>
      <c r="K349" t="s">
        <v>71</v>
      </c>
      <c r="L349" t="s">
        <v>113</v>
      </c>
      <c r="M349" t="s">
        <v>448</v>
      </c>
      <c r="N349" t="b">
        <v>0</v>
      </c>
      <c r="O349" t="b">
        <v>0</v>
      </c>
    </row>
    <row r="350" spans="1:15">
      <c r="A350">
        <v>349</v>
      </c>
      <c r="B350" s="1">
        <v>45316.374560185184</v>
      </c>
      <c r="C350" s="2">
        <v>45316.556860659723</v>
      </c>
      <c r="D350" s="2">
        <v>45316.691260624997</v>
      </c>
      <c r="E350" t="s">
        <v>10</v>
      </c>
      <c r="F350" t="s">
        <v>4</v>
      </c>
      <c r="G350" t="s">
        <v>15</v>
      </c>
      <c r="H350">
        <v>4</v>
      </c>
      <c r="I350">
        <v>1</v>
      </c>
      <c r="J350" t="s">
        <v>68</v>
      </c>
      <c r="K350" t="s">
        <v>40</v>
      </c>
      <c r="L350" t="s">
        <v>192</v>
      </c>
      <c r="M350" t="s">
        <v>449</v>
      </c>
      <c r="N350" t="b">
        <v>0</v>
      </c>
      <c r="O350" t="b">
        <v>0</v>
      </c>
    </row>
    <row r="351" spans="1:15">
      <c r="A351">
        <v>350</v>
      </c>
      <c r="B351" s="1">
        <v>45316.377928240741</v>
      </c>
      <c r="C351" s="2">
        <v>45316.437885011575</v>
      </c>
      <c r="D351" s="2">
        <v>45316.592598668984</v>
      </c>
      <c r="E351" t="s">
        <v>9</v>
      </c>
      <c r="F351" t="s">
        <v>4</v>
      </c>
      <c r="G351" t="s">
        <v>17</v>
      </c>
      <c r="H351">
        <v>5</v>
      </c>
      <c r="I351">
        <v>3</v>
      </c>
      <c r="J351" t="s">
        <v>68</v>
      </c>
      <c r="K351" t="s">
        <v>32</v>
      </c>
      <c r="L351" t="s">
        <v>138</v>
      </c>
      <c r="M351" t="s">
        <v>450</v>
      </c>
      <c r="N351" t="b">
        <v>0</v>
      </c>
      <c r="O351" t="b">
        <v>0</v>
      </c>
    </row>
    <row r="352" spans="1:15">
      <c r="A352">
        <v>351</v>
      </c>
      <c r="B352" s="1">
        <v>45316.403344907405</v>
      </c>
      <c r="C352" s="2">
        <v>45316.467757685183</v>
      </c>
      <c r="D352" s="2">
        <v>45317.096956666668</v>
      </c>
      <c r="E352" t="s">
        <v>10</v>
      </c>
      <c r="F352" t="s">
        <v>4</v>
      </c>
      <c r="G352" t="s">
        <v>15</v>
      </c>
      <c r="H352">
        <v>7</v>
      </c>
      <c r="I352">
        <v>4</v>
      </c>
      <c r="J352" t="s">
        <v>39</v>
      </c>
      <c r="K352" t="s">
        <v>43</v>
      </c>
      <c r="L352" t="s">
        <v>156</v>
      </c>
      <c r="M352" t="s">
        <v>451</v>
      </c>
      <c r="N352" t="b">
        <v>0</v>
      </c>
      <c r="O352" t="b">
        <v>0</v>
      </c>
    </row>
    <row r="353" spans="1:15">
      <c r="A353">
        <v>352</v>
      </c>
      <c r="B353" s="1">
        <v>45316.444085648145</v>
      </c>
      <c r="C353" s="2">
        <v>45316.574489953702</v>
      </c>
      <c r="D353" s="2">
        <v>45318.091035370373</v>
      </c>
      <c r="E353" t="s">
        <v>11</v>
      </c>
      <c r="F353" t="s">
        <v>4</v>
      </c>
      <c r="G353" t="s">
        <v>17</v>
      </c>
      <c r="H353">
        <v>5</v>
      </c>
      <c r="I353">
        <v>9</v>
      </c>
      <c r="J353" t="s">
        <v>68</v>
      </c>
      <c r="K353" t="s">
        <v>32</v>
      </c>
      <c r="L353" t="s">
        <v>310</v>
      </c>
      <c r="M353" t="s">
        <v>452</v>
      </c>
      <c r="N353" t="b">
        <v>0</v>
      </c>
      <c r="O353" t="b">
        <v>0</v>
      </c>
    </row>
    <row r="354" spans="1:15">
      <c r="A354">
        <v>353</v>
      </c>
      <c r="B354" s="1">
        <v>45316.499618055554</v>
      </c>
      <c r="C354" s="2">
        <v>45316.765232916667</v>
      </c>
      <c r="D354" s="2">
        <v>45318.005521863422</v>
      </c>
      <c r="E354" t="s">
        <v>11</v>
      </c>
      <c r="F354" t="s">
        <v>4</v>
      </c>
      <c r="G354" t="s">
        <v>16</v>
      </c>
      <c r="H354">
        <v>5</v>
      </c>
      <c r="I354">
        <v>4</v>
      </c>
      <c r="J354" t="s">
        <v>52</v>
      </c>
      <c r="K354" t="s">
        <v>32</v>
      </c>
      <c r="L354" t="s">
        <v>156</v>
      </c>
      <c r="M354" t="s">
        <v>453</v>
      </c>
      <c r="N354" t="b">
        <v>0</v>
      </c>
      <c r="O354" t="b">
        <v>0</v>
      </c>
    </row>
    <row r="355" spans="1:15">
      <c r="A355">
        <v>354</v>
      </c>
      <c r="B355" s="1">
        <v>45316.671099537038</v>
      </c>
      <c r="C355" s="2">
        <v>45316.717314085647</v>
      </c>
      <c r="E355" t="s">
        <v>9</v>
      </c>
      <c r="F355" t="s">
        <v>3</v>
      </c>
      <c r="G355" t="s">
        <v>17</v>
      </c>
      <c r="H355">
        <v>1</v>
      </c>
      <c r="I355">
        <v>5</v>
      </c>
      <c r="J355" t="s">
        <v>39</v>
      </c>
      <c r="K355" t="s">
        <v>71</v>
      </c>
      <c r="L355" t="s">
        <v>124</v>
      </c>
      <c r="M355" t="s">
        <v>454</v>
      </c>
      <c r="N355" t="b">
        <v>0</v>
      </c>
      <c r="O355" t="b">
        <v>0</v>
      </c>
    </row>
    <row r="356" spans="1:15">
      <c r="A356">
        <v>355</v>
      </c>
      <c r="B356" s="1">
        <v>45316.699305555558</v>
      </c>
      <c r="C356" s="2">
        <v>45316.848432789353</v>
      </c>
      <c r="D356" s="2">
        <v>45317.652454374998</v>
      </c>
      <c r="E356" t="s">
        <v>10</v>
      </c>
      <c r="F356" t="s">
        <v>4</v>
      </c>
      <c r="G356" t="s">
        <v>15</v>
      </c>
      <c r="H356">
        <v>7</v>
      </c>
      <c r="I356">
        <v>6</v>
      </c>
      <c r="J356" t="s">
        <v>35</v>
      </c>
      <c r="K356" t="s">
        <v>43</v>
      </c>
      <c r="L356" t="s">
        <v>117</v>
      </c>
      <c r="M356" t="s">
        <v>455</v>
      </c>
      <c r="N356" t="b">
        <v>1</v>
      </c>
      <c r="O356" t="b">
        <v>0</v>
      </c>
    </row>
    <row r="357" spans="1:15">
      <c r="A357">
        <v>356</v>
      </c>
      <c r="B357" s="1">
        <v>45316.742928240739</v>
      </c>
      <c r="C357" s="2">
        <v>45316.754724629631</v>
      </c>
      <c r="D357" s="2">
        <v>45316.833571516203</v>
      </c>
      <c r="E357" t="s">
        <v>8</v>
      </c>
      <c r="F357" t="s">
        <v>2</v>
      </c>
      <c r="G357" t="s">
        <v>15</v>
      </c>
      <c r="H357">
        <v>3</v>
      </c>
      <c r="I357">
        <v>2</v>
      </c>
      <c r="J357" t="s">
        <v>31</v>
      </c>
      <c r="K357" t="s">
        <v>46</v>
      </c>
      <c r="L357" t="s">
        <v>188</v>
      </c>
      <c r="M357" t="s">
        <v>456</v>
      </c>
      <c r="N357" t="b">
        <v>1</v>
      </c>
      <c r="O357" t="b">
        <v>0</v>
      </c>
    </row>
    <row r="358" spans="1:15">
      <c r="A358">
        <v>357</v>
      </c>
      <c r="B358" s="1">
        <v>45316.830231481479</v>
      </c>
      <c r="C358" s="2">
        <v>45317.093313159719</v>
      </c>
      <c r="D358" s="2">
        <v>45317.161649756941</v>
      </c>
      <c r="E358" t="s">
        <v>10</v>
      </c>
      <c r="F358" t="s">
        <v>4</v>
      </c>
      <c r="G358" t="s">
        <v>16</v>
      </c>
      <c r="H358">
        <v>4</v>
      </c>
      <c r="I358">
        <v>6</v>
      </c>
      <c r="J358" t="s">
        <v>49</v>
      </c>
      <c r="K358" t="s">
        <v>40</v>
      </c>
      <c r="L358" t="s">
        <v>188</v>
      </c>
      <c r="M358" t="s">
        <v>457</v>
      </c>
      <c r="N358" t="b">
        <v>0</v>
      </c>
      <c r="O358" t="b">
        <v>0</v>
      </c>
    </row>
    <row r="359" spans="1:15">
      <c r="A359">
        <v>358</v>
      </c>
      <c r="B359" s="1">
        <v>45316.897928240738</v>
      </c>
      <c r="C359" s="2">
        <v>45317.592575601855</v>
      </c>
      <c r="D359" s="2">
        <v>45318.804186157409</v>
      </c>
      <c r="E359" t="s">
        <v>11</v>
      </c>
      <c r="F359" t="s">
        <v>2</v>
      </c>
      <c r="G359" t="s">
        <v>15</v>
      </c>
      <c r="H359">
        <v>4</v>
      </c>
      <c r="I359">
        <v>3</v>
      </c>
      <c r="J359" t="s">
        <v>52</v>
      </c>
      <c r="K359" t="s">
        <v>40</v>
      </c>
      <c r="L359" t="s">
        <v>75</v>
      </c>
      <c r="M359" t="s">
        <v>458</v>
      </c>
      <c r="N359" t="b">
        <v>0</v>
      </c>
      <c r="O359" t="b">
        <v>0</v>
      </c>
    </row>
    <row r="360" spans="1:15">
      <c r="A360">
        <v>359</v>
      </c>
      <c r="B360" s="1">
        <v>45317.034502314818</v>
      </c>
      <c r="C360" s="2">
        <v>45317.246409201391</v>
      </c>
      <c r="D360" s="2">
        <v>45317.716964305553</v>
      </c>
      <c r="E360" t="s">
        <v>10</v>
      </c>
      <c r="F360" t="s">
        <v>4</v>
      </c>
      <c r="G360" t="s">
        <v>15</v>
      </c>
      <c r="H360">
        <v>1</v>
      </c>
      <c r="I360">
        <v>9</v>
      </c>
      <c r="J360" t="s">
        <v>31</v>
      </c>
      <c r="K360" t="s">
        <v>71</v>
      </c>
      <c r="L360" t="s">
        <v>47</v>
      </c>
      <c r="M360" t="s">
        <v>459</v>
      </c>
      <c r="N360" t="b">
        <v>0</v>
      </c>
      <c r="O360" t="b">
        <v>0</v>
      </c>
    </row>
    <row r="361" spans="1:15">
      <c r="A361">
        <v>360</v>
      </c>
      <c r="B361" s="1">
        <v>45317.077974537038</v>
      </c>
      <c r="C361" s="2">
        <v>45317.207465567131</v>
      </c>
      <c r="E361" t="s">
        <v>11</v>
      </c>
      <c r="F361" t="s">
        <v>80</v>
      </c>
      <c r="G361" t="s">
        <v>17</v>
      </c>
      <c r="H361">
        <v>4</v>
      </c>
      <c r="I361">
        <v>3</v>
      </c>
      <c r="J361" t="s">
        <v>39</v>
      </c>
      <c r="K361" t="s">
        <v>40</v>
      </c>
      <c r="L361" t="s">
        <v>66</v>
      </c>
      <c r="M361" t="s">
        <v>460</v>
      </c>
      <c r="N361" t="b">
        <v>0</v>
      </c>
      <c r="O361" t="b">
        <v>0</v>
      </c>
    </row>
    <row r="362" spans="1:15">
      <c r="A362">
        <v>361</v>
      </c>
      <c r="B362" s="1">
        <v>45317.079328703701</v>
      </c>
      <c r="C362" s="2">
        <v>45317.404477962962</v>
      </c>
      <c r="D362" s="2">
        <v>45317.731378171295</v>
      </c>
      <c r="E362" t="s">
        <v>10</v>
      </c>
      <c r="F362" t="s">
        <v>4</v>
      </c>
      <c r="G362" t="s">
        <v>17</v>
      </c>
      <c r="H362">
        <v>4</v>
      </c>
      <c r="I362">
        <v>4</v>
      </c>
      <c r="J362" t="s">
        <v>39</v>
      </c>
      <c r="K362" t="s">
        <v>40</v>
      </c>
      <c r="L362" t="s">
        <v>171</v>
      </c>
      <c r="M362" t="s">
        <v>461</v>
      </c>
      <c r="N362" t="b">
        <v>0</v>
      </c>
      <c r="O362" t="b">
        <v>0</v>
      </c>
    </row>
    <row r="363" spans="1:15">
      <c r="A363">
        <v>362</v>
      </c>
      <c r="B363" s="1">
        <v>45317.09</v>
      </c>
      <c r="C363" s="2">
        <v>45317.846040046294</v>
      </c>
      <c r="D363" s="2">
        <v>45319.915747476851</v>
      </c>
      <c r="E363" t="s">
        <v>11</v>
      </c>
      <c r="F363" t="s">
        <v>4</v>
      </c>
      <c r="G363" t="s">
        <v>17</v>
      </c>
      <c r="H363">
        <v>2</v>
      </c>
      <c r="I363">
        <v>5</v>
      </c>
      <c r="J363" t="s">
        <v>52</v>
      </c>
      <c r="K363" t="s">
        <v>57</v>
      </c>
      <c r="L363" t="s">
        <v>58</v>
      </c>
      <c r="M363" t="s">
        <v>462</v>
      </c>
      <c r="N363" t="b">
        <v>1</v>
      </c>
      <c r="O363" t="b">
        <v>0</v>
      </c>
    </row>
    <row r="364" spans="1:15">
      <c r="A364">
        <v>363</v>
      </c>
      <c r="B364" s="1">
        <v>45317.098553240743</v>
      </c>
      <c r="C364" s="2">
        <v>45317.794988888891</v>
      </c>
      <c r="E364" t="s">
        <v>11</v>
      </c>
      <c r="F364" t="s">
        <v>3</v>
      </c>
      <c r="G364" t="s">
        <v>17</v>
      </c>
      <c r="H364">
        <v>2</v>
      </c>
      <c r="I364">
        <v>4</v>
      </c>
      <c r="J364" t="s">
        <v>49</v>
      </c>
      <c r="K364" t="s">
        <v>57</v>
      </c>
      <c r="L364" t="s">
        <v>62</v>
      </c>
      <c r="M364" t="s">
        <v>463</v>
      </c>
      <c r="N364" t="b">
        <v>0</v>
      </c>
      <c r="O364" t="b">
        <v>0</v>
      </c>
    </row>
    <row r="365" spans="1:15">
      <c r="A365">
        <v>364</v>
      </c>
      <c r="B365" s="1">
        <v>45317.327349537038</v>
      </c>
      <c r="C365" s="2">
        <v>45317.761176805558</v>
      </c>
      <c r="E365" t="s">
        <v>11</v>
      </c>
      <c r="F365" t="s">
        <v>80</v>
      </c>
      <c r="G365" t="s">
        <v>17</v>
      </c>
      <c r="H365">
        <v>1</v>
      </c>
      <c r="I365">
        <v>6</v>
      </c>
      <c r="J365" t="s">
        <v>68</v>
      </c>
      <c r="K365" t="s">
        <v>71</v>
      </c>
      <c r="L365" t="s">
        <v>89</v>
      </c>
      <c r="M365" t="s">
        <v>464</v>
      </c>
      <c r="N365" t="b">
        <v>0</v>
      </c>
      <c r="O365" t="b">
        <v>0</v>
      </c>
    </row>
    <row r="366" spans="1:15">
      <c r="A366">
        <v>365</v>
      </c>
      <c r="B366" s="1">
        <v>45317.349050925928</v>
      </c>
      <c r="C366" s="2">
        <v>45318.112646793983</v>
      </c>
      <c r="D366" s="2">
        <v>45319.649079965275</v>
      </c>
      <c r="E366" t="s">
        <v>11</v>
      </c>
      <c r="F366" t="s">
        <v>4</v>
      </c>
      <c r="G366" t="s">
        <v>15</v>
      </c>
      <c r="H366">
        <v>8</v>
      </c>
      <c r="I366">
        <v>8</v>
      </c>
      <c r="J366" t="s">
        <v>68</v>
      </c>
      <c r="K366" t="s">
        <v>36</v>
      </c>
      <c r="L366" t="s">
        <v>37</v>
      </c>
      <c r="M366" t="s">
        <v>465</v>
      </c>
      <c r="N366" t="b">
        <v>0</v>
      </c>
      <c r="O366" t="b">
        <v>0</v>
      </c>
    </row>
    <row r="367" spans="1:15">
      <c r="A367">
        <v>366</v>
      </c>
      <c r="B367" s="1">
        <v>45317.373912037037</v>
      </c>
      <c r="C367" s="2">
        <v>45317.528097685186</v>
      </c>
      <c r="D367" s="2">
        <v>45319.613824722219</v>
      </c>
      <c r="E367" t="s">
        <v>11</v>
      </c>
      <c r="F367" t="s">
        <v>4</v>
      </c>
      <c r="G367" t="s">
        <v>17</v>
      </c>
      <c r="H367">
        <v>3</v>
      </c>
      <c r="I367">
        <v>10</v>
      </c>
      <c r="J367" t="s">
        <v>35</v>
      </c>
      <c r="K367" t="s">
        <v>46</v>
      </c>
      <c r="L367" t="s">
        <v>200</v>
      </c>
      <c r="M367" t="s">
        <v>466</v>
      </c>
      <c r="N367" t="b">
        <v>0</v>
      </c>
      <c r="O367" t="b">
        <v>0</v>
      </c>
    </row>
    <row r="368" spans="1:15">
      <c r="A368">
        <v>367</v>
      </c>
      <c r="B368" s="1">
        <v>45317.422349537039</v>
      </c>
      <c r="C368" s="2">
        <v>45317.464901099534</v>
      </c>
      <c r="D368" s="2">
        <v>45318.037904745368</v>
      </c>
      <c r="E368" t="s">
        <v>10</v>
      </c>
      <c r="F368" t="s">
        <v>4</v>
      </c>
      <c r="G368" t="s">
        <v>14</v>
      </c>
      <c r="H368">
        <v>7</v>
      </c>
      <c r="I368">
        <v>9</v>
      </c>
      <c r="J368" t="s">
        <v>68</v>
      </c>
      <c r="K368" t="s">
        <v>43</v>
      </c>
      <c r="L368" t="s">
        <v>302</v>
      </c>
      <c r="M368" t="s">
        <v>467</v>
      </c>
      <c r="N368" t="b">
        <v>0</v>
      </c>
      <c r="O368" t="b">
        <v>0</v>
      </c>
    </row>
    <row r="369" spans="1:15">
      <c r="A369">
        <v>368</v>
      </c>
      <c r="B369" s="1">
        <v>45317.76258101852</v>
      </c>
      <c r="C369" s="2">
        <v>45317.948266620369</v>
      </c>
      <c r="D369" s="2">
        <v>45318.120717928243</v>
      </c>
      <c r="E369" t="s">
        <v>10</v>
      </c>
      <c r="F369" t="s">
        <v>4</v>
      </c>
      <c r="G369" t="s">
        <v>17</v>
      </c>
      <c r="H369">
        <v>7</v>
      </c>
      <c r="I369">
        <v>3</v>
      </c>
      <c r="J369" t="s">
        <v>52</v>
      </c>
      <c r="K369" t="s">
        <v>43</v>
      </c>
      <c r="L369" t="s">
        <v>117</v>
      </c>
      <c r="M369" t="s">
        <v>468</v>
      </c>
      <c r="N369" t="b">
        <v>0</v>
      </c>
      <c r="O369" t="b">
        <v>0</v>
      </c>
    </row>
    <row r="370" spans="1:15">
      <c r="A370">
        <v>369</v>
      </c>
      <c r="B370" s="1">
        <v>45317.782094907408</v>
      </c>
      <c r="C370" s="2">
        <v>45318.110270798614</v>
      </c>
      <c r="D370" s="2">
        <v>45318.246304513887</v>
      </c>
      <c r="E370" t="s">
        <v>10</v>
      </c>
      <c r="F370" t="s">
        <v>4</v>
      </c>
      <c r="G370" t="s">
        <v>16</v>
      </c>
      <c r="H370">
        <v>4</v>
      </c>
      <c r="I370">
        <v>7</v>
      </c>
      <c r="J370" t="s">
        <v>35</v>
      </c>
      <c r="K370" t="s">
        <v>40</v>
      </c>
      <c r="L370" t="s">
        <v>136</v>
      </c>
      <c r="M370" t="s">
        <v>469</v>
      </c>
      <c r="N370" t="b">
        <v>0</v>
      </c>
      <c r="O370" t="b">
        <v>0</v>
      </c>
    </row>
    <row r="371" spans="1:15">
      <c r="A371">
        <v>370</v>
      </c>
      <c r="B371" s="1">
        <v>45317.842418981483</v>
      </c>
      <c r="C371" s="2">
        <v>45317.980536759256</v>
      </c>
      <c r="D371" s="2">
        <v>45318.791136481479</v>
      </c>
      <c r="E371" t="s">
        <v>11</v>
      </c>
      <c r="F371" t="s">
        <v>4</v>
      </c>
      <c r="G371" t="s">
        <v>15</v>
      </c>
      <c r="H371">
        <v>7</v>
      </c>
      <c r="I371">
        <v>4</v>
      </c>
      <c r="J371" t="s">
        <v>52</v>
      </c>
      <c r="K371" t="s">
        <v>43</v>
      </c>
      <c r="L371" t="s">
        <v>124</v>
      </c>
      <c r="M371" t="s">
        <v>470</v>
      </c>
      <c r="N371" t="b">
        <v>0</v>
      </c>
      <c r="O371" t="b">
        <v>0</v>
      </c>
    </row>
    <row r="372" spans="1:15">
      <c r="A372">
        <v>371</v>
      </c>
      <c r="B372" s="1">
        <v>45317.854212962964</v>
      </c>
      <c r="C372" s="2">
        <v>45317.955378032406</v>
      </c>
      <c r="D372" s="2">
        <v>45318.096766423609</v>
      </c>
      <c r="E372" t="s">
        <v>9</v>
      </c>
      <c r="F372" t="s">
        <v>4</v>
      </c>
      <c r="G372" t="s">
        <v>17</v>
      </c>
      <c r="H372">
        <v>2</v>
      </c>
      <c r="I372">
        <v>9</v>
      </c>
      <c r="J372" t="s">
        <v>31</v>
      </c>
      <c r="K372" t="s">
        <v>57</v>
      </c>
      <c r="L372" t="s">
        <v>89</v>
      </c>
      <c r="M372" t="s">
        <v>471</v>
      </c>
      <c r="N372" t="b">
        <v>0</v>
      </c>
      <c r="O372" t="b">
        <v>0</v>
      </c>
    </row>
    <row r="373" spans="1:15">
      <c r="A373">
        <v>372</v>
      </c>
      <c r="B373" s="1">
        <v>45317.96429398148</v>
      </c>
      <c r="C373" s="2">
        <v>45318.152332581019</v>
      </c>
      <c r="D373" s="2">
        <v>45320.208745000004</v>
      </c>
      <c r="E373" t="s">
        <v>11</v>
      </c>
      <c r="F373" t="s">
        <v>4</v>
      </c>
      <c r="G373" t="s">
        <v>17</v>
      </c>
      <c r="H373">
        <v>2</v>
      </c>
      <c r="I373">
        <v>1</v>
      </c>
      <c r="J373" t="s">
        <v>39</v>
      </c>
      <c r="K373" t="s">
        <v>57</v>
      </c>
      <c r="L373" t="s">
        <v>106</v>
      </c>
      <c r="M373" t="s">
        <v>472</v>
      </c>
      <c r="N373" t="b">
        <v>0</v>
      </c>
      <c r="O373" t="b">
        <v>0</v>
      </c>
    </row>
    <row r="374" spans="1:15">
      <c r="A374">
        <v>373</v>
      </c>
      <c r="B374" s="1">
        <v>45318.059224537035</v>
      </c>
      <c r="C374" s="2">
        <v>45318.25219003472</v>
      </c>
      <c r="D374" s="2">
        <v>45318.666089328704</v>
      </c>
      <c r="E374" t="s">
        <v>10</v>
      </c>
      <c r="F374" t="s">
        <v>4</v>
      </c>
      <c r="G374" t="s">
        <v>17</v>
      </c>
      <c r="H374">
        <v>8</v>
      </c>
      <c r="I374">
        <v>10</v>
      </c>
      <c r="J374" t="s">
        <v>39</v>
      </c>
      <c r="K374" t="s">
        <v>36</v>
      </c>
      <c r="L374" t="s">
        <v>64</v>
      </c>
      <c r="M374" t="s">
        <v>473</v>
      </c>
      <c r="N374" t="b">
        <v>0</v>
      </c>
      <c r="O374" t="b">
        <v>0</v>
      </c>
    </row>
    <row r="375" spans="1:15">
      <c r="A375">
        <v>374</v>
      </c>
      <c r="B375" s="1">
        <v>45318.080914351849</v>
      </c>
      <c r="C375" s="2">
        <v>45318.364553703701</v>
      </c>
      <c r="D375" s="2">
        <v>45320.701578611108</v>
      </c>
      <c r="E375" t="s">
        <v>11</v>
      </c>
      <c r="F375" t="s">
        <v>4</v>
      </c>
      <c r="G375" t="s">
        <v>15</v>
      </c>
      <c r="H375">
        <v>6</v>
      </c>
      <c r="I375">
        <v>4</v>
      </c>
      <c r="J375" t="s">
        <v>49</v>
      </c>
      <c r="K375" t="s">
        <v>73</v>
      </c>
      <c r="L375" t="s">
        <v>138</v>
      </c>
      <c r="M375" t="s">
        <v>474</v>
      </c>
      <c r="N375" t="b">
        <v>0</v>
      </c>
      <c r="O375" t="b">
        <v>0</v>
      </c>
    </row>
    <row r="376" spans="1:15">
      <c r="A376">
        <v>375</v>
      </c>
      <c r="B376" s="1">
        <v>45318.091354166667</v>
      </c>
      <c r="C376" s="2">
        <v>45318.190118726852</v>
      </c>
      <c r="D376" s="2">
        <v>45318.464068148147</v>
      </c>
      <c r="E376" t="s">
        <v>10</v>
      </c>
      <c r="F376" t="s">
        <v>4</v>
      </c>
      <c r="G376" t="s">
        <v>17</v>
      </c>
      <c r="H376">
        <v>6</v>
      </c>
      <c r="I376">
        <v>8</v>
      </c>
      <c r="J376" t="s">
        <v>35</v>
      </c>
      <c r="K376" t="s">
        <v>73</v>
      </c>
      <c r="L376" t="s">
        <v>124</v>
      </c>
      <c r="M376" t="s">
        <v>475</v>
      </c>
      <c r="N376" t="b">
        <v>0</v>
      </c>
      <c r="O376" t="b">
        <v>0</v>
      </c>
    </row>
    <row r="377" spans="1:15">
      <c r="A377">
        <v>376</v>
      </c>
      <c r="B377" s="1">
        <v>45318.20385416667</v>
      </c>
      <c r="C377" s="2">
        <v>45318.292935231482</v>
      </c>
      <c r="E377" t="s">
        <v>11</v>
      </c>
      <c r="F377" t="s">
        <v>80</v>
      </c>
      <c r="G377" t="s">
        <v>16</v>
      </c>
      <c r="H377">
        <v>8</v>
      </c>
      <c r="I377">
        <v>7</v>
      </c>
      <c r="J377" t="s">
        <v>52</v>
      </c>
      <c r="K377" t="s">
        <v>36</v>
      </c>
      <c r="L377" t="s">
        <v>41</v>
      </c>
      <c r="M377" t="s">
        <v>476</v>
      </c>
      <c r="N377" t="b">
        <v>0</v>
      </c>
      <c r="O377" t="b">
        <v>0</v>
      </c>
    </row>
    <row r="378" spans="1:15">
      <c r="A378">
        <v>377</v>
      </c>
      <c r="B378" s="1">
        <v>45318.220219907409</v>
      </c>
      <c r="C378" s="2">
        <v>45318.320558368054</v>
      </c>
      <c r="D378" s="2">
        <v>45318.505295983799</v>
      </c>
      <c r="E378" t="s">
        <v>9</v>
      </c>
      <c r="F378" t="s">
        <v>4</v>
      </c>
      <c r="G378" t="s">
        <v>17</v>
      </c>
      <c r="H378">
        <v>1</v>
      </c>
      <c r="I378">
        <v>4</v>
      </c>
      <c r="J378" t="s">
        <v>35</v>
      </c>
      <c r="K378" t="s">
        <v>71</v>
      </c>
      <c r="L378" t="s">
        <v>100</v>
      </c>
      <c r="M378" t="s">
        <v>477</v>
      </c>
      <c r="N378" t="b">
        <v>0</v>
      </c>
      <c r="O378" t="b">
        <v>0</v>
      </c>
    </row>
    <row r="379" spans="1:15">
      <c r="A379">
        <v>378</v>
      </c>
      <c r="B379" s="1">
        <v>45318.279918981483</v>
      </c>
      <c r="C379" s="2">
        <v>45318.400291516205</v>
      </c>
      <c r="D379" s="2">
        <v>45318.613375636574</v>
      </c>
      <c r="E379" t="s">
        <v>10</v>
      </c>
      <c r="F379" t="s">
        <v>2</v>
      </c>
      <c r="G379" t="s">
        <v>15</v>
      </c>
      <c r="H379">
        <v>2</v>
      </c>
      <c r="I379">
        <v>10</v>
      </c>
      <c r="J379" t="s">
        <v>68</v>
      </c>
      <c r="K379" t="s">
        <v>57</v>
      </c>
      <c r="L379" t="s">
        <v>75</v>
      </c>
      <c r="M379" t="s">
        <v>478</v>
      </c>
      <c r="N379" t="b">
        <v>0</v>
      </c>
      <c r="O379" t="b">
        <v>0</v>
      </c>
    </row>
    <row r="380" spans="1:15">
      <c r="A380">
        <v>379</v>
      </c>
      <c r="B380" s="1">
        <v>45318.3278125</v>
      </c>
      <c r="C380" s="2">
        <v>45319.086790497684</v>
      </c>
      <c r="E380" t="s">
        <v>11</v>
      </c>
      <c r="F380" t="s">
        <v>80</v>
      </c>
      <c r="G380" t="s">
        <v>15</v>
      </c>
      <c r="H380">
        <v>8</v>
      </c>
      <c r="I380">
        <v>3</v>
      </c>
      <c r="J380" t="s">
        <v>49</v>
      </c>
      <c r="K380" t="s">
        <v>36</v>
      </c>
      <c r="L380" t="s">
        <v>89</v>
      </c>
      <c r="M380" t="s">
        <v>479</v>
      </c>
      <c r="N380" t="b">
        <v>0</v>
      </c>
      <c r="O380" t="b">
        <v>0</v>
      </c>
    </row>
    <row r="381" spans="1:15">
      <c r="A381">
        <v>380</v>
      </c>
      <c r="B381" s="1">
        <v>45318.335763888892</v>
      </c>
      <c r="C381" s="2">
        <v>45318.407583472224</v>
      </c>
      <c r="D381" s="2">
        <v>45318.956103101853</v>
      </c>
      <c r="E381" t="s">
        <v>10</v>
      </c>
      <c r="F381" t="s">
        <v>4</v>
      </c>
      <c r="G381" t="s">
        <v>17</v>
      </c>
      <c r="H381">
        <v>2</v>
      </c>
      <c r="I381">
        <v>8</v>
      </c>
      <c r="J381" t="s">
        <v>68</v>
      </c>
      <c r="K381" t="s">
        <v>57</v>
      </c>
      <c r="L381" t="s">
        <v>179</v>
      </c>
      <c r="M381" t="s">
        <v>480</v>
      </c>
      <c r="N381" t="b">
        <v>0</v>
      </c>
      <c r="O381" t="b">
        <v>0</v>
      </c>
    </row>
    <row r="382" spans="1:15">
      <c r="A382">
        <v>381</v>
      </c>
      <c r="B382" s="1">
        <v>45318.362662037034</v>
      </c>
      <c r="C382" s="2">
        <v>45318.675721458334</v>
      </c>
      <c r="D382" s="2">
        <v>45319.164198483799</v>
      </c>
      <c r="E382" t="s">
        <v>10</v>
      </c>
      <c r="F382" t="s">
        <v>4</v>
      </c>
      <c r="G382" t="s">
        <v>15</v>
      </c>
      <c r="H382">
        <v>4</v>
      </c>
      <c r="I382">
        <v>10</v>
      </c>
      <c r="J382" t="s">
        <v>49</v>
      </c>
      <c r="K382" t="s">
        <v>40</v>
      </c>
      <c r="L382" t="s">
        <v>174</v>
      </c>
      <c r="M382" t="s">
        <v>481</v>
      </c>
      <c r="N382" t="b">
        <v>0</v>
      </c>
      <c r="O382" t="b">
        <v>0</v>
      </c>
    </row>
    <row r="383" spans="1:15">
      <c r="A383">
        <v>382</v>
      </c>
      <c r="B383" s="1">
        <v>45318.390532407408</v>
      </c>
      <c r="C383" s="2">
        <v>45318.720978356483</v>
      </c>
      <c r="D383" s="2">
        <v>45319.406479143516</v>
      </c>
      <c r="E383" t="s">
        <v>11</v>
      </c>
      <c r="F383" t="s">
        <v>4</v>
      </c>
      <c r="G383" t="s">
        <v>14</v>
      </c>
      <c r="H383">
        <v>1</v>
      </c>
      <c r="I383">
        <v>2</v>
      </c>
      <c r="J383" t="s">
        <v>68</v>
      </c>
      <c r="K383" t="s">
        <v>71</v>
      </c>
      <c r="L383" t="s">
        <v>121</v>
      </c>
      <c r="M383" t="s">
        <v>482</v>
      </c>
      <c r="N383" t="b">
        <v>0</v>
      </c>
      <c r="O383" t="b">
        <v>0</v>
      </c>
    </row>
    <row r="384" spans="1:15">
      <c r="A384">
        <v>383</v>
      </c>
      <c r="B384" s="1">
        <v>45318.391180555554</v>
      </c>
      <c r="C384" s="2">
        <v>45318.493997013888</v>
      </c>
      <c r="D384" s="2">
        <v>45319.418378761577</v>
      </c>
      <c r="E384" t="s">
        <v>11</v>
      </c>
      <c r="F384" t="s">
        <v>4</v>
      </c>
      <c r="G384" t="s">
        <v>16</v>
      </c>
      <c r="H384">
        <v>3</v>
      </c>
      <c r="I384">
        <v>10</v>
      </c>
      <c r="J384" t="s">
        <v>68</v>
      </c>
      <c r="K384" t="s">
        <v>46</v>
      </c>
      <c r="L384" t="s">
        <v>158</v>
      </c>
      <c r="M384" t="s">
        <v>483</v>
      </c>
      <c r="N384" t="b">
        <v>0</v>
      </c>
      <c r="O384" t="b">
        <v>0</v>
      </c>
    </row>
    <row r="385" spans="1:15">
      <c r="A385">
        <v>384</v>
      </c>
      <c r="B385" s="1">
        <v>45318.541666666664</v>
      </c>
      <c r="C385" s="2">
        <v>45318.571884652774</v>
      </c>
      <c r="D385" s="2">
        <v>45318.669793831017</v>
      </c>
      <c r="E385" t="s">
        <v>9</v>
      </c>
      <c r="F385" t="s">
        <v>4</v>
      </c>
      <c r="G385" t="s">
        <v>16</v>
      </c>
      <c r="H385">
        <v>2</v>
      </c>
      <c r="I385">
        <v>9</v>
      </c>
      <c r="J385" t="s">
        <v>31</v>
      </c>
      <c r="K385" t="s">
        <v>57</v>
      </c>
      <c r="L385" t="s">
        <v>131</v>
      </c>
      <c r="M385" t="s">
        <v>484</v>
      </c>
      <c r="N385" t="b">
        <v>0</v>
      </c>
      <c r="O385" t="b">
        <v>0</v>
      </c>
    </row>
    <row r="386" spans="1:15">
      <c r="A386">
        <v>385</v>
      </c>
      <c r="B386" s="1">
        <v>45318.616597222222</v>
      </c>
      <c r="C386" s="2">
        <v>45318.759391377316</v>
      </c>
      <c r="D386" s="2">
        <v>45319.554977002314</v>
      </c>
      <c r="E386" t="s">
        <v>10</v>
      </c>
      <c r="F386" t="s">
        <v>4</v>
      </c>
      <c r="G386" t="s">
        <v>17</v>
      </c>
      <c r="H386">
        <v>3</v>
      </c>
      <c r="I386">
        <v>4</v>
      </c>
      <c r="J386" t="s">
        <v>39</v>
      </c>
      <c r="K386" t="s">
        <v>46</v>
      </c>
      <c r="L386" t="s">
        <v>124</v>
      </c>
      <c r="M386" t="s">
        <v>485</v>
      </c>
      <c r="N386" t="b">
        <v>1</v>
      </c>
      <c r="O386" t="b">
        <v>0</v>
      </c>
    </row>
    <row r="387" spans="1:15">
      <c r="A387">
        <v>386</v>
      </c>
      <c r="B387" s="1">
        <v>45318.869849537034</v>
      </c>
      <c r="C387" s="2">
        <v>45318.960574363424</v>
      </c>
      <c r="E387" t="s">
        <v>10</v>
      </c>
      <c r="F387" t="s">
        <v>80</v>
      </c>
      <c r="G387" t="s">
        <v>17</v>
      </c>
      <c r="H387">
        <v>7</v>
      </c>
      <c r="I387">
        <v>9</v>
      </c>
      <c r="J387" t="s">
        <v>68</v>
      </c>
      <c r="K387" t="s">
        <v>43</v>
      </c>
      <c r="L387" t="s">
        <v>302</v>
      </c>
      <c r="M387" t="s">
        <v>486</v>
      </c>
      <c r="N387" t="b">
        <v>0</v>
      </c>
      <c r="O387" t="b">
        <v>0</v>
      </c>
    </row>
    <row r="388" spans="1:15">
      <c r="A388">
        <v>387</v>
      </c>
      <c r="B388" s="1">
        <v>45318.949374999997</v>
      </c>
      <c r="C388" s="2">
        <v>45319.281548749997</v>
      </c>
      <c r="D388" s="2">
        <v>45319.59117605324</v>
      </c>
      <c r="E388" t="s">
        <v>10</v>
      </c>
      <c r="F388" t="s">
        <v>4</v>
      </c>
      <c r="G388" t="s">
        <v>15</v>
      </c>
      <c r="H388">
        <v>3</v>
      </c>
      <c r="I388">
        <v>1</v>
      </c>
      <c r="J388" t="s">
        <v>35</v>
      </c>
      <c r="K388" t="s">
        <v>46</v>
      </c>
      <c r="L388" t="s">
        <v>110</v>
      </c>
      <c r="M388" t="s">
        <v>487</v>
      </c>
      <c r="N388" t="b">
        <v>0</v>
      </c>
      <c r="O388" t="b">
        <v>0</v>
      </c>
    </row>
    <row r="389" spans="1:15">
      <c r="A389">
        <v>388</v>
      </c>
      <c r="B389" s="1">
        <v>45318.951215277775</v>
      </c>
      <c r="C389" s="2">
        <v>45319.077228518516</v>
      </c>
      <c r="D389" s="2">
        <v>45319.646917881946</v>
      </c>
      <c r="E389" t="s">
        <v>10</v>
      </c>
      <c r="F389" t="s">
        <v>4</v>
      </c>
      <c r="G389" t="s">
        <v>15</v>
      </c>
      <c r="H389">
        <v>7</v>
      </c>
      <c r="I389">
        <v>2</v>
      </c>
      <c r="J389" t="s">
        <v>39</v>
      </c>
      <c r="K389" t="s">
        <v>43</v>
      </c>
      <c r="L389" t="s">
        <v>156</v>
      </c>
      <c r="M389" t="s">
        <v>488</v>
      </c>
      <c r="N389" t="b">
        <v>0</v>
      </c>
      <c r="O389" t="b">
        <v>0</v>
      </c>
    </row>
    <row r="390" spans="1:15">
      <c r="A390">
        <v>389</v>
      </c>
      <c r="B390" s="1">
        <v>45318.983807870369</v>
      </c>
      <c r="C390" s="2">
        <v>45319.108121990743</v>
      </c>
      <c r="D390" s="2">
        <v>45319.190840972224</v>
      </c>
      <c r="E390" t="s">
        <v>9</v>
      </c>
      <c r="F390" t="s">
        <v>4</v>
      </c>
      <c r="G390" t="s">
        <v>17</v>
      </c>
      <c r="H390">
        <v>8</v>
      </c>
      <c r="I390">
        <v>8</v>
      </c>
      <c r="J390" t="s">
        <v>35</v>
      </c>
      <c r="K390" t="s">
        <v>36</v>
      </c>
      <c r="L390" t="s">
        <v>89</v>
      </c>
      <c r="M390" t="s">
        <v>489</v>
      </c>
      <c r="N390" t="b">
        <v>0</v>
      </c>
      <c r="O390" t="b">
        <v>0</v>
      </c>
    </row>
    <row r="391" spans="1:15">
      <c r="A391">
        <v>390</v>
      </c>
      <c r="B391" s="1">
        <v>45319.059421296297</v>
      </c>
      <c r="C391" s="2">
        <v>45319.157300671293</v>
      </c>
      <c r="D391" s="2">
        <v>45319.4668337037</v>
      </c>
      <c r="E391" t="s">
        <v>10</v>
      </c>
      <c r="F391" t="s">
        <v>4</v>
      </c>
      <c r="G391" t="s">
        <v>15</v>
      </c>
      <c r="H391">
        <v>5</v>
      </c>
      <c r="I391">
        <v>10</v>
      </c>
      <c r="J391" t="s">
        <v>68</v>
      </c>
      <c r="K391" t="s">
        <v>32</v>
      </c>
      <c r="L391" t="s">
        <v>164</v>
      </c>
      <c r="M391" t="s">
        <v>490</v>
      </c>
      <c r="N391" t="b">
        <v>0</v>
      </c>
      <c r="O391" t="b">
        <v>0</v>
      </c>
    </row>
    <row r="392" spans="1:15">
      <c r="A392">
        <v>391</v>
      </c>
      <c r="B392" s="1">
        <v>45319.105196759258</v>
      </c>
      <c r="C392" s="2">
        <v>45319.329906319443</v>
      </c>
      <c r="D392" s="2">
        <v>45319.751107696757</v>
      </c>
      <c r="E392" t="s">
        <v>10</v>
      </c>
      <c r="F392" t="s">
        <v>4</v>
      </c>
      <c r="G392" t="s">
        <v>15</v>
      </c>
      <c r="H392">
        <v>5</v>
      </c>
      <c r="I392">
        <v>2</v>
      </c>
      <c r="J392" t="s">
        <v>68</v>
      </c>
      <c r="K392" t="s">
        <v>32</v>
      </c>
      <c r="L392" t="s">
        <v>100</v>
      </c>
      <c r="M392" t="s">
        <v>491</v>
      </c>
      <c r="N392" t="b">
        <v>0</v>
      </c>
      <c r="O392" t="b">
        <v>0</v>
      </c>
    </row>
    <row r="393" spans="1:15">
      <c r="A393">
        <v>392</v>
      </c>
      <c r="B393" s="1">
        <v>45319.119351851848</v>
      </c>
      <c r="C393" s="2">
        <v>45319.63910104167</v>
      </c>
      <c r="D393" s="2">
        <v>45320.366893055558</v>
      </c>
      <c r="E393" t="s">
        <v>11</v>
      </c>
      <c r="F393" t="s">
        <v>4</v>
      </c>
      <c r="G393" t="s">
        <v>14</v>
      </c>
      <c r="H393">
        <v>3</v>
      </c>
      <c r="I393">
        <v>8</v>
      </c>
      <c r="J393" t="s">
        <v>35</v>
      </c>
      <c r="K393" t="s">
        <v>46</v>
      </c>
      <c r="L393" t="s">
        <v>200</v>
      </c>
      <c r="M393" t="s">
        <v>492</v>
      </c>
      <c r="N393" t="b">
        <v>0</v>
      </c>
      <c r="O393" t="b">
        <v>0</v>
      </c>
    </row>
    <row r="394" spans="1:15">
      <c r="A394">
        <v>393</v>
      </c>
      <c r="B394" s="1">
        <v>45319.365023148152</v>
      </c>
      <c r="C394" s="2">
        <v>45319.600048645836</v>
      </c>
      <c r="D394" s="2">
        <v>45320.031855034722</v>
      </c>
      <c r="E394" t="s">
        <v>10</v>
      </c>
      <c r="F394" t="s">
        <v>4</v>
      </c>
      <c r="G394" t="s">
        <v>14</v>
      </c>
      <c r="H394">
        <v>6</v>
      </c>
      <c r="I394">
        <v>2</v>
      </c>
      <c r="J394" t="s">
        <v>52</v>
      </c>
      <c r="K394" t="s">
        <v>73</v>
      </c>
      <c r="L394" t="s">
        <v>93</v>
      </c>
      <c r="M394" t="s">
        <v>493</v>
      </c>
      <c r="N394" t="b">
        <v>0</v>
      </c>
      <c r="O394" t="b">
        <v>0</v>
      </c>
    </row>
    <row r="395" spans="1:15">
      <c r="A395">
        <v>394</v>
      </c>
      <c r="B395" s="1">
        <v>45319.434791666667</v>
      </c>
      <c r="C395" s="2">
        <v>45319.623192129628</v>
      </c>
      <c r="D395" s="2">
        <v>45320.021921608793</v>
      </c>
      <c r="E395" t="s">
        <v>10</v>
      </c>
      <c r="F395" t="s">
        <v>4</v>
      </c>
      <c r="G395" t="s">
        <v>16</v>
      </c>
      <c r="H395">
        <v>7</v>
      </c>
      <c r="I395">
        <v>8</v>
      </c>
      <c r="J395" t="s">
        <v>31</v>
      </c>
      <c r="K395" t="s">
        <v>43</v>
      </c>
      <c r="L395" t="s">
        <v>33</v>
      </c>
      <c r="M395" t="s">
        <v>494</v>
      </c>
      <c r="N395" t="b">
        <v>0</v>
      </c>
      <c r="O395" t="b">
        <v>0</v>
      </c>
    </row>
    <row r="396" spans="1:15">
      <c r="A396">
        <v>395</v>
      </c>
      <c r="B396" s="1">
        <v>45319.474074074074</v>
      </c>
      <c r="C396" s="2">
        <v>45319.842174293983</v>
      </c>
      <c r="D396" s="2">
        <v>45320.229994513888</v>
      </c>
      <c r="E396" t="s">
        <v>11</v>
      </c>
      <c r="F396" t="s">
        <v>4</v>
      </c>
      <c r="G396" t="s">
        <v>15</v>
      </c>
      <c r="H396">
        <v>7</v>
      </c>
      <c r="I396">
        <v>9</v>
      </c>
      <c r="J396" t="s">
        <v>39</v>
      </c>
      <c r="K396" t="s">
        <v>43</v>
      </c>
      <c r="L396" t="s">
        <v>81</v>
      </c>
      <c r="M396" t="s">
        <v>495</v>
      </c>
      <c r="N396" t="b">
        <v>0</v>
      </c>
      <c r="O396" t="b">
        <v>0</v>
      </c>
    </row>
    <row r="397" spans="1:15">
      <c r="A397">
        <v>396</v>
      </c>
      <c r="B397" s="1">
        <v>45319.530949074076</v>
      </c>
      <c r="C397" s="2">
        <v>45319.936892673613</v>
      </c>
      <c r="D397" s="2">
        <v>45321.501550243054</v>
      </c>
      <c r="E397" t="s">
        <v>11</v>
      </c>
      <c r="F397" t="s">
        <v>4</v>
      </c>
      <c r="G397" t="s">
        <v>16</v>
      </c>
      <c r="H397">
        <v>2</v>
      </c>
      <c r="I397">
        <v>5</v>
      </c>
      <c r="J397" t="s">
        <v>39</v>
      </c>
      <c r="K397" t="s">
        <v>57</v>
      </c>
      <c r="L397" t="s">
        <v>124</v>
      </c>
      <c r="M397" t="s">
        <v>496</v>
      </c>
      <c r="N397" t="b">
        <v>0</v>
      </c>
      <c r="O397" t="b">
        <v>0</v>
      </c>
    </row>
    <row r="398" spans="1:15">
      <c r="A398">
        <v>397</v>
      </c>
      <c r="B398" s="1">
        <v>45319.543402777781</v>
      </c>
      <c r="C398" s="2">
        <v>45319.781502546299</v>
      </c>
      <c r="D398" s="2">
        <v>45319.79650045139</v>
      </c>
      <c r="E398" t="s">
        <v>10</v>
      </c>
      <c r="F398" t="s">
        <v>4</v>
      </c>
      <c r="G398" t="s">
        <v>17</v>
      </c>
      <c r="H398">
        <v>6</v>
      </c>
      <c r="I398">
        <v>2</v>
      </c>
      <c r="J398" t="s">
        <v>31</v>
      </c>
      <c r="K398" t="s">
        <v>73</v>
      </c>
      <c r="L398" t="s">
        <v>60</v>
      </c>
      <c r="M398" t="s">
        <v>497</v>
      </c>
      <c r="N398" t="b">
        <v>0</v>
      </c>
      <c r="O398" t="b">
        <v>0</v>
      </c>
    </row>
    <row r="399" spans="1:15">
      <c r="A399">
        <v>398</v>
      </c>
      <c r="B399" s="1">
        <v>45319.544444444444</v>
      </c>
      <c r="C399" s="2">
        <v>45320.308893449073</v>
      </c>
      <c r="D399" s="2">
        <v>45321.975476608794</v>
      </c>
      <c r="E399" t="s">
        <v>11</v>
      </c>
      <c r="F399" t="s">
        <v>4</v>
      </c>
      <c r="G399" t="s">
        <v>15</v>
      </c>
      <c r="H399">
        <v>2</v>
      </c>
      <c r="I399">
        <v>3</v>
      </c>
      <c r="J399" t="s">
        <v>35</v>
      </c>
      <c r="K399" t="s">
        <v>57</v>
      </c>
      <c r="L399" t="s">
        <v>41</v>
      </c>
      <c r="M399" t="s">
        <v>498</v>
      </c>
      <c r="N399" t="b">
        <v>0</v>
      </c>
      <c r="O399" t="b">
        <v>0</v>
      </c>
    </row>
    <row r="400" spans="1:15">
      <c r="A400">
        <v>399</v>
      </c>
      <c r="B400" s="1">
        <v>45319.625289351854</v>
      </c>
      <c r="C400" s="2">
        <v>45319.934559664354</v>
      </c>
      <c r="D400" s="2">
        <v>45320.245555312496</v>
      </c>
      <c r="E400" t="s">
        <v>10</v>
      </c>
      <c r="F400" t="s">
        <v>4</v>
      </c>
      <c r="G400" t="s">
        <v>17</v>
      </c>
      <c r="H400">
        <v>4</v>
      </c>
      <c r="I400">
        <v>6</v>
      </c>
      <c r="J400" t="s">
        <v>68</v>
      </c>
      <c r="K400" t="s">
        <v>40</v>
      </c>
      <c r="L400" t="s">
        <v>89</v>
      </c>
      <c r="M400" t="s">
        <v>499</v>
      </c>
      <c r="N400" t="b">
        <v>0</v>
      </c>
      <c r="O400" t="b">
        <v>0</v>
      </c>
    </row>
    <row r="401" spans="1:15">
      <c r="A401">
        <v>400</v>
      </c>
      <c r="B401" s="1">
        <v>45319.636886574073</v>
      </c>
      <c r="C401" s="2">
        <v>45319.909968483793</v>
      </c>
      <c r="D401" s="2">
        <v>45320.171461412036</v>
      </c>
      <c r="E401" t="s">
        <v>10</v>
      </c>
      <c r="F401" t="s">
        <v>4</v>
      </c>
      <c r="G401" t="s">
        <v>17</v>
      </c>
      <c r="H401">
        <v>1</v>
      </c>
      <c r="I401">
        <v>8</v>
      </c>
      <c r="J401" t="s">
        <v>39</v>
      </c>
      <c r="K401" t="s">
        <v>71</v>
      </c>
      <c r="L401" t="s">
        <v>284</v>
      </c>
      <c r="M401" t="s">
        <v>500</v>
      </c>
      <c r="N401" t="b">
        <v>0</v>
      </c>
      <c r="O401" t="b">
        <v>0</v>
      </c>
    </row>
    <row r="402" spans="1:15">
      <c r="A402">
        <v>401</v>
      </c>
      <c r="B402" s="1">
        <v>45319.65184027778</v>
      </c>
      <c r="C402" s="2">
        <v>45319.729645312502</v>
      </c>
      <c r="D402" s="2">
        <v>45320.401513368059</v>
      </c>
      <c r="E402" t="s">
        <v>10</v>
      </c>
      <c r="F402" t="s">
        <v>4</v>
      </c>
      <c r="G402" t="s">
        <v>17</v>
      </c>
      <c r="H402">
        <v>5</v>
      </c>
      <c r="I402">
        <v>6</v>
      </c>
      <c r="J402" t="s">
        <v>35</v>
      </c>
      <c r="K402" t="s">
        <v>32</v>
      </c>
      <c r="L402" t="s">
        <v>131</v>
      </c>
      <c r="M402" t="s">
        <v>501</v>
      </c>
      <c r="N402" t="b">
        <v>0</v>
      </c>
      <c r="O402" t="b">
        <v>0</v>
      </c>
    </row>
    <row r="403" spans="1:15">
      <c r="A403">
        <v>402</v>
      </c>
      <c r="B403" s="1">
        <v>45319.804062499999</v>
      </c>
      <c r="C403" s="2">
        <v>45319.853536539355</v>
      </c>
      <c r="D403" s="2">
        <v>45319.980629039354</v>
      </c>
      <c r="E403" t="s">
        <v>9</v>
      </c>
      <c r="F403" t="s">
        <v>4</v>
      </c>
      <c r="G403" t="s">
        <v>14</v>
      </c>
      <c r="H403">
        <v>7</v>
      </c>
      <c r="I403">
        <v>5</v>
      </c>
      <c r="J403" t="s">
        <v>35</v>
      </c>
      <c r="K403" t="s">
        <v>43</v>
      </c>
      <c r="L403" t="s">
        <v>179</v>
      </c>
      <c r="M403" t="s">
        <v>502</v>
      </c>
      <c r="N403" t="b">
        <v>0</v>
      </c>
      <c r="O403" t="b">
        <v>0</v>
      </c>
    </row>
    <row r="404" spans="1:15">
      <c r="A404">
        <v>403</v>
      </c>
      <c r="B404" s="1">
        <v>45319.880844907406</v>
      </c>
      <c r="C404" s="2">
        <v>45320.341383356485</v>
      </c>
      <c r="D404" s="2">
        <v>45320.925801087964</v>
      </c>
      <c r="E404" t="s">
        <v>11</v>
      </c>
      <c r="F404" t="s">
        <v>2</v>
      </c>
      <c r="G404" t="s">
        <v>15</v>
      </c>
      <c r="H404">
        <v>7</v>
      </c>
      <c r="I404">
        <v>7</v>
      </c>
      <c r="J404" t="s">
        <v>31</v>
      </c>
      <c r="K404" t="s">
        <v>43</v>
      </c>
      <c r="L404" t="s">
        <v>179</v>
      </c>
      <c r="M404" t="s">
        <v>503</v>
      </c>
      <c r="N404" t="b">
        <v>0</v>
      </c>
      <c r="O404" t="b">
        <v>0</v>
      </c>
    </row>
    <row r="405" spans="1:15">
      <c r="A405">
        <v>404</v>
      </c>
      <c r="B405" s="1">
        <v>45319.984710648147</v>
      </c>
      <c r="C405" s="2">
        <v>45320.097141805556</v>
      </c>
      <c r="D405" s="2">
        <v>45320.798959745371</v>
      </c>
      <c r="E405" t="s">
        <v>10</v>
      </c>
      <c r="F405" t="s">
        <v>4</v>
      </c>
      <c r="G405" t="s">
        <v>16</v>
      </c>
      <c r="H405">
        <v>6</v>
      </c>
      <c r="I405">
        <v>10</v>
      </c>
      <c r="J405" t="s">
        <v>68</v>
      </c>
      <c r="K405" t="s">
        <v>73</v>
      </c>
      <c r="L405" t="s">
        <v>138</v>
      </c>
      <c r="M405" t="s">
        <v>504</v>
      </c>
      <c r="N405" t="b">
        <v>0</v>
      </c>
      <c r="O405" t="b">
        <v>0</v>
      </c>
    </row>
    <row r="406" spans="1:15">
      <c r="A406">
        <v>405</v>
      </c>
      <c r="B406" s="1">
        <v>45319.988692129627</v>
      </c>
      <c r="C406" s="2">
        <v>45320.278638553238</v>
      </c>
      <c r="D406" s="2">
        <v>45321.909885138892</v>
      </c>
      <c r="E406" t="s">
        <v>11</v>
      </c>
      <c r="F406" t="s">
        <v>4</v>
      </c>
      <c r="G406" t="s">
        <v>15</v>
      </c>
      <c r="H406">
        <v>5</v>
      </c>
      <c r="I406">
        <v>8</v>
      </c>
      <c r="J406" t="s">
        <v>49</v>
      </c>
      <c r="K406" t="s">
        <v>32</v>
      </c>
      <c r="L406" t="s">
        <v>66</v>
      </c>
      <c r="M406" t="s">
        <v>505</v>
      </c>
      <c r="N406" t="b">
        <v>0</v>
      </c>
      <c r="O406" t="b">
        <v>0</v>
      </c>
    </row>
    <row r="407" spans="1:15">
      <c r="A407">
        <v>406</v>
      </c>
      <c r="B407" s="1">
        <v>45320.026516203703</v>
      </c>
      <c r="C407" s="2">
        <v>45320.191420138886</v>
      </c>
      <c r="D407" s="2">
        <v>45320.421403854169</v>
      </c>
      <c r="E407" t="s">
        <v>10</v>
      </c>
      <c r="F407" t="s">
        <v>4</v>
      </c>
      <c r="G407" t="s">
        <v>14</v>
      </c>
      <c r="H407">
        <v>5</v>
      </c>
      <c r="I407">
        <v>2</v>
      </c>
      <c r="J407" t="s">
        <v>49</v>
      </c>
      <c r="K407" t="s">
        <v>32</v>
      </c>
      <c r="L407" t="s">
        <v>81</v>
      </c>
      <c r="M407" t="s">
        <v>506</v>
      </c>
      <c r="N407" t="b">
        <v>0</v>
      </c>
      <c r="O407" t="b">
        <v>0</v>
      </c>
    </row>
    <row r="408" spans="1:15">
      <c r="A408">
        <v>407</v>
      </c>
      <c r="B408" s="1">
        <v>45320.095196759263</v>
      </c>
      <c r="C408" s="2">
        <v>45320.177174085649</v>
      </c>
      <c r="D408" s="2">
        <v>45320.963215706019</v>
      </c>
      <c r="E408" t="s">
        <v>10</v>
      </c>
      <c r="F408" t="s">
        <v>4</v>
      </c>
      <c r="G408" t="s">
        <v>16</v>
      </c>
      <c r="H408">
        <v>1</v>
      </c>
      <c r="I408">
        <v>2</v>
      </c>
      <c r="J408" t="s">
        <v>35</v>
      </c>
      <c r="K408" t="s">
        <v>71</v>
      </c>
      <c r="L408" t="s">
        <v>58</v>
      </c>
      <c r="M408" t="s">
        <v>507</v>
      </c>
      <c r="N408" t="b">
        <v>0</v>
      </c>
      <c r="O408" t="b">
        <v>0</v>
      </c>
    </row>
    <row r="409" spans="1:15">
      <c r="A409">
        <v>408</v>
      </c>
      <c r="B409" s="1">
        <v>45320.132118055553</v>
      </c>
      <c r="C409" s="2">
        <v>45320.400568854166</v>
      </c>
      <c r="D409" s="2">
        <v>45321.04072449074</v>
      </c>
      <c r="E409" t="s">
        <v>10</v>
      </c>
      <c r="F409" t="s">
        <v>2</v>
      </c>
      <c r="G409" t="s">
        <v>17</v>
      </c>
      <c r="H409">
        <v>6</v>
      </c>
      <c r="I409">
        <v>4</v>
      </c>
      <c r="J409" t="s">
        <v>39</v>
      </c>
      <c r="K409" t="s">
        <v>73</v>
      </c>
      <c r="L409" t="s">
        <v>41</v>
      </c>
      <c r="M409" t="s">
        <v>508</v>
      </c>
      <c r="N409" t="b">
        <v>1</v>
      </c>
      <c r="O409" t="b">
        <v>0</v>
      </c>
    </row>
    <row r="410" spans="1:15">
      <c r="A410">
        <v>409</v>
      </c>
      <c r="B410" s="1">
        <v>45320.234733796293</v>
      </c>
      <c r="C410" s="2">
        <v>45320.287511238428</v>
      </c>
      <c r="D410" s="2">
        <v>45320.505706793978</v>
      </c>
      <c r="E410" t="s">
        <v>9</v>
      </c>
      <c r="F410" t="s">
        <v>4</v>
      </c>
      <c r="G410" t="s">
        <v>16</v>
      </c>
      <c r="H410">
        <v>6</v>
      </c>
      <c r="I410">
        <v>3</v>
      </c>
      <c r="J410" t="s">
        <v>39</v>
      </c>
      <c r="K410" t="s">
        <v>73</v>
      </c>
      <c r="L410" t="s">
        <v>253</v>
      </c>
      <c r="M410" t="s">
        <v>509</v>
      </c>
      <c r="N410" t="b">
        <v>0</v>
      </c>
      <c r="O410" t="b">
        <v>0</v>
      </c>
    </row>
    <row r="411" spans="1:15">
      <c r="A411">
        <v>410</v>
      </c>
      <c r="B411" s="1">
        <v>45320.41846064815</v>
      </c>
      <c r="C411" s="2">
        <v>45320.794435520831</v>
      </c>
      <c r="D411" s="2">
        <v>45322.54663394676</v>
      </c>
      <c r="E411" t="s">
        <v>11</v>
      </c>
      <c r="F411" t="s">
        <v>4</v>
      </c>
      <c r="G411" t="s">
        <v>14</v>
      </c>
      <c r="H411">
        <v>2</v>
      </c>
      <c r="I411">
        <v>8</v>
      </c>
      <c r="J411" t="s">
        <v>31</v>
      </c>
      <c r="K411" t="s">
        <v>57</v>
      </c>
      <c r="L411" t="s">
        <v>47</v>
      </c>
      <c r="M411" t="s">
        <v>510</v>
      </c>
      <c r="N411" t="b">
        <v>0</v>
      </c>
      <c r="O411" t="b">
        <v>0</v>
      </c>
    </row>
    <row r="412" spans="1:15">
      <c r="A412">
        <v>411</v>
      </c>
      <c r="B412" s="1">
        <v>45320.458587962959</v>
      </c>
      <c r="C412" s="2">
        <v>45321.13871540509</v>
      </c>
      <c r="D412" s="2">
        <v>45321.749757812497</v>
      </c>
      <c r="E412" t="s">
        <v>11</v>
      </c>
      <c r="F412" t="s">
        <v>4</v>
      </c>
      <c r="G412" t="s">
        <v>15</v>
      </c>
      <c r="H412">
        <v>6</v>
      </c>
      <c r="I412">
        <v>10</v>
      </c>
      <c r="J412" t="s">
        <v>31</v>
      </c>
      <c r="K412" t="s">
        <v>73</v>
      </c>
      <c r="L412" t="s">
        <v>81</v>
      </c>
      <c r="M412" t="s">
        <v>511</v>
      </c>
      <c r="N412" t="b">
        <v>0</v>
      </c>
      <c r="O412" t="b">
        <v>0</v>
      </c>
    </row>
    <row r="413" spans="1:15">
      <c r="A413">
        <v>412</v>
      </c>
      <c r="B413" s="1">
        <v>45320.495995370373</v>
      </c>
      <c r="C413" s="2">
        <v>45321.161519861111</v>
      </c>
      <c r="D413" s="2">
        <v>45321.539938472219</v>
      </c>
      <c r="E413" t="s">
        <v>11</v>
      </c>
      <c r="F413" t="s">
        <v>4</v>
      </c>
      <c r="G413" t="s">
        <v>17</v>
      </c>
      <c r="H413">
        <v>4</v>
      </c>
      <c r="I413">
        <v>6</v>
      </c>
      <c r="J413" t="s">
        <v>31</v>
      </c>
      <c r="K413" t="s">
        <v>40</v>
      </c>
      <c r="L413" t="s">
        <v>124</v>
      </c>
      <c r="M413" t="s">
        <v>512</v>
      </c>
      <c r="N413" t="b">
        <v>0</v>
      </c>
      <c r="O413" t="b">
        <v>0</v>
      </c>
    </row>
    <row r="414" spans="1:15">
      <c r="A414">
        <v>413</v>
      </c>
      <c r="B414" s="1">
        <v>45320.536921296298</v>
      </c>
      <c r="C414" s="2">
        <v>45321.32617482639</v>
      </c>
      <c r="D414" s="2">
        <v>45321.606823113427</v>
      </c>
      <c r="E414" t="s">
        <v>11</v>
      </c>
      <c r="F414" t="s">
        <v>4</v>
      </c>
      <c r="G414" t="s">
        <v>17</v>
      </c>
      <c r="H414">
        <v>5</v>
      </c>
      <c r="I414">
        <v>9</v>
      </c>
      <c r="J414" t="s">
        <v>35</v>
      </c>
      <c r="K414" t="s">
        <v>32</v>
      </c>
      <c r="L414" t="s">
        <v>55</v>
      </c>
      <c r="M414" t="s">
        <v>513</v>
      </c>
      <c r="N414" t="b">
        <v>0</v>
      </c>
      <c r="O414" t="b">
        <v>0</v>
      </c>
    </row>
    <row r="415" spans="1:15">
      <c r="A415">
        <v>414</v>
      </c>
      <c r="B415" s="1">
        <v>45320.672337962962</v>
      </c>
      <c r="C415" s="2">
        <v>45320.808353101849</v>
      </c>
      <c r="E415" t="s">
        <v>10</v>
      </c>
      <c r="F415" t="s">
        <v>80</v>
      </c>
      <c r="G415" t="s">
        <v>15</v>
      </c>
      <c r="H415">
        <v>7</v>
      </c>
      <c r="I415">
        <v>5</v>
      </c>
      <c r="J415" t="s">
        <v>31</v>
      </c>
      <c r="K415" t="s">
        <v>43</v>
      </c>
      <c r="L415" t="s">
        <v>124</v>
      </c>
      <c r="M415" t="s">
        <v>514</v>
      </c>
      <c r="N415" t="b">
        <v>0</v>
      </c>
      <c r="O415" t="b">
        <v>0</v>
      </c>
    </row>
    <row r="416" spans="1:15">
      <c r="A416">
        <v>415</v>
      </c>
      <c r="B416" s="1">
        <v>45320.725451388891</v>
      </c>
      <c r="C416" s="2">
        <v>45320.817083518516</v>
      </c>
      <c r="D416" s="2">
        <v>45320.99076912037</v>
      </c>
      <c r="E416" t="s">
        <v>9</v>
      </c>
      <c r="F416" t="s">
        <v>4</v>
      </c>
      <c r="G416" t="s">
        <v>17</v>
      </c>
      <c r="H416">
        <v>3</v>
      </c>
      <c r="I416">
        <v>7</v>
      </c>
      <c r="J416" t="s">
        <v>49</v>
      </c>
      <c r="K416" t="s">
        <v>46</v>
      </c>
      <c r="L416" t="s">
        <v>78</v>
      </c>
      <c r="M416" t="s">
        <v>515</v>
      </c>
      <c r="N416" t="b">
        <v>0</v>
      </c>
      <c r="O416" t="b">
        <v>0</v>
      </c>
    </row>
    <row r="417" spans="1:15">
      <c r="A417">
        <v>416</v>
      </c>
      <c r="B417" s="1">
        <v>45320.823553240742</v>
      </c>
      <c r="C417" s="2">
        <v>45321.129025729169</v>
      </c>
      <c r="D417" s="2">
        <v>45321.347153923612</v>
      </c>
      <c r="E417" t="s">
        <v>10</v>
      </c>
      <c r="F417" t="s">
        <v>4</v>
      </c>
      <c r="G417" t="s">
        <v>15</v>
      </c>
      <c r="H417">
        <v>8</v>
      </c>
      <c r="I417">
        <v>8</v>
      </c>
      <c r="J417" t="s">
        <v>35</v>
      </c>
      <c r="K417" t="s">
        <v>36</v>
      </c>
      <c r="L417" t="s">
        <v>64</v>
      </c>
      <c r="M417" t="s">
        <v>516</v>
      </c>
      <c r="N417" t="b">
        <v>0</v>
      </c>
      <c r="O417" t="b">
        <v>0</v>
      </c>
    </row>
    <row r="418" spans="1:15">
      <c r="A418">
        <v>417</v>
      </c>
      <c r="B418" s="1">
        <v>45320.863622685189</v>
      </c>
      <c r="C418" s="2">
        <v>45321.204600925928</v>
      </c>
      <c r="D418" s="2">
        <v>45323.003655231485</v>
      </c>
      <c r="E418" t="s">
        <v>11</v>
      </c>
      <c r="F418" t="s">
        <v>4</v>
      </c>
      <c r="G418" t="s">
        <v>15</v>
      </c>
      <c r="H418">
        <v>4</v>
      </c>
      <c r="I418">
        <v>3</v>
      </c>
      <c r="J418" t="s">
        <v>49</v>
      </c>
      <c r="K418" t="s">
        <v>40</v>
      </c>
      <c r="L418" t="s">
        <v>66</v>
      </c>
      <c r="M418" t="s">
        <v>517</v>
      </c>
      <c r="N418" t="b">
        <v>0</v>
      </c>
      <c r="O418" t="b">
        <v>0</v>
      </c>
    </row>
    <row r="419" spans="1:15">
      <c r="A419">
        <v>418</v>
      </c>
      <c r="B419" s="1">
        <v>45320.918622685182</v>
      </c>
      <c r="C419" s="2">
        <v>45320.96620516204</v>
      </c>
      <c r="D419" s="2">
        <v>45321.672481793983</v>
      </c>
      <c r="E419" t="s">
        <v>10</v>
      </c>
      <c r="F419" t="s">
        <v>4</v>
      </c>
      <c r="G419" t="s">
        <v>16</v>
      </c>
      <c r="H419">
        <v>5</v>
      </c>
      <c r="I419">
        <v>8</v>
      </c>
      <c r="J419" t="s">
        <v>52</v>
      </c>
      <c r="K419" t="s">
        <v>32</v>
      </c>
      <c r="L419" t="s">
        <v>284</v>
      </c>
      <c r="M419" t="s">
        <v>518</v>
      </c>
      <c r="N419" t="b">
        <v>0</v>
      </c>
      <c r="O419" t="b">
        <v>0</v>
      </c>
    </row>
    <row r="420" spans="1:15">
      <c r="A420">
        <v>419</v>
      </c>
      <c r="B420" s="1">
        <v>45320.969733796293</v>
      </c>
      <c r="C420" s="2">
        <v>45321.023945960646</v>
      </c>
      <c r="D420" s="2">
        <v>45321.016304340279</v>
      </c>
      <c r="E420" t="s">
        <v>8</v>
      </c>
      <c r="F420" t="s">
        <v>4</v>
      </c>
      <c r="G420" t="s">
        <v>16</v>
      </c>
      <c r="H420">
        <v>1</v>
      </c>
      <c r="I420">
        <v>6</v>
      </c>
      <c r="J420" t="s">
        <v>49</v>
      </c>
      <c r="K420" t="s">
        <v>71</v>
      </c>
      <c r="L420" t="s">
        <v>55</v>
      </c>
      <c r="M420" t="s">
        <v>519</v>
      </c>
      <c r="N420" t="b">
        <v>1</v>
      </c>
      <c r="O420" t="b">
        <v>0</v>
      </c>
    </row>
    <row r="421" spans="1:15">
      <c r="A421">
        <v>420</v>
      </c>
      <c r="B421" s="1">
        <v>45321.005960648145</v>
      </c>
      <c r="C421" s="2">
        <v>45321.810951087966</v>
      </c>
      <c r="E421" t="s">
        <v>11</v>
      </c>
      <c r="F421" t="s">
        <v>3</v>
      </c>
      <c r="G421" t="s">
        <v>14</v>
      </c>
      <c r="H421">
        <v>1</v>
      </c>
      <c r="I421">
        <v>6</v>
      </c>
      <c r="J421" t="s">
        <v>35</v>
      </c>
      <c r="K421" t="s">
        <v>71</v>
      </c>
      <c r="L421" t="s">
        <v>221</v>
      </c>
      <c r="M421" t="s">
        <v>520</v>
      </c>
      <c r="N421" t="b">
        <v>0</v>
      </c>
      <c r="O421" t="b">
        <v>0</v>
      </c>
    </row>
    <row r="422" spans="1:15">
      <c r="A422">
        <v>421</v>
      </c>
      <c r="B422" s="1">
        <v>45321.013159722221</v>
      </c>
      <c r="C422" s="2">
        <v>45321.34177042824</v>
      </c>
      <c r="D422" s="2">
        <v>45321.361942523145</v>
      </c>
      <c r="E422" t="s">
        <v>10</v>
      </c>
      <c r="F422" t="s">
        <v>4</v>
      </c>
      <c r="G422" t="s">
        <v>15</v>
      </c>
      <c r="H422">
        <v>3</v>
      </c>
      <c r="I422">
        <v>3</v>
      </c>
      <c r="J422" t="s">
        <v>68</v>
      </c>
      <c r="K422" t="s">
        <v>46</v>
      </c>
      <c r="L422" t="s">
        <v>136</v>
      </c>
      <c r="M422" t="s">
        <v>521</v>
      </c>
      <c r="N422" t="b">
        <v>0</v>
      </c>
      <c r="O422" t="b">
        <v>0</v>
      </c>
    </row>
    <row r="423" spans="1:15">
      <c r="A423">
        <v>422</v>
      </c>
      <c r="B423" s="1">
        <v>45321.017280092594</v>
      </c>
      <c r="C423" s="2">
        <v>45321.260114178243</v>
      </c>
      <c r="E423" t="s">
        <v>10</v>
      </c>
      <c r="F423" t="s">
        <v>80</v>
      </c>
      <c r="G423" t="s">
        <v>17</v>
      </c>
      <c r="H423">
        <v>8</v>
      </c>
      <c r="I423">
        <v>4</v>
      </c>
      <c r="J423" t="s">
        <v>35</v>
      </c>
      <c r="K423" t="s">
        <v>36</v>
      </c>
      <c r="L423" t="s">
        <v>134</v>
      </c>
      <c r="M423" t="s">
        <v>522</v>
      </c>
      <c r="N423" t="b">
        <v>0</v>
      </c>
      <c r="O423" t="b">
        <v>0</v>
      </c>
    </row>
    <row r="424" spans="1:15">
      <c r="A424">
        <v>423</v>
      </c>
      <c r="B424" s="1">
        <v>45321.081041666665</v>
      </c>
      <c r="C424" s="2">
        <v>45321.141085138886</v>
      </c>
      <c r="D424" s="2">
        <v>45321.123782476854</v>
      </c>
      <c r="E424" t="s">
        <v>8</v>
      </c>
      <c r="F424" t="s">
        <v>4</v>
      </c>
      <c r="G424" t="s">
        <v>15</v>
      </c>
      <c r="H424">
        <v>3</v>
      </c>
      <c r="I424">
        <v>9</v>
      </c>
      <c r="J424" t="s">
        <v>52</v>
      </c>
      <c r="K424" t="s">
        <v>46</v>
      </c>
      <c r="L424" t="s">
        <v>96</v>
      </c>
      <c r="M424" t="s">
        <v>523</v>
      </c>
      <c r="N424" t="b">
        <v>1</v>
      </c>
      <c r="O424" t="b">
        <v>0</v>
      </c>
    </row>
    <row r="425" spans="1:15">
      <c r="A425">
        <v>424</v>
      </c>
      <c r="B425" s="1">
        <v>45321.211793981478</v>
      </c>
      <c r="C425" s="2">
        <v>45321.441638252312</v>
      </c>
      <c r="D425" s="2">
        <v>45322.033690011573</v>
      </c>
      <c r="E425" t="s">
        <v>10</v>
      </c>
      <c r="F425" t="s">
        <v>4</v>
      </c>
      <c r="G425" t="s">
        <v>15</v>
      </c>
      <c r="H425">
        <v>4</v>
      </c>
      <c r="I425">
        <v>7</v>
      </c>
      <c r="J425" t="s">
        <v>31</v>
      </c>
      <c r="K425" t="s">
        <v>40</v>
      </c>
      <c r="L425" t="s">
        <v>102</v>
      </c>
      <c r="M425" t="s">
        <v>524</v>
      </c>
      <c r="N425" t="b">
        <v>0</v>
      </c>
      <c r="O425" t="b">
        <v>0</v>
      </c>
    </row>
    <row r="426" spans="1:15">
      <c r="A426">
        <v>425</v>
      </c>
      <c r="B426" s="1">
        <v>45321.245520833334</v>
      </c>
      <c r="C426" s="2">
        <v>45321.402764363425</v>
      </c>
      <c r="D426" s="2">
        <v>45321.595194351852</v>
      </c>
      <c r="E426" t="s">
        <v>10</v>
      </c>
      <c r="F426" t="s">
        <v>4</v>
      </c>
      <c r="G426" t="s">
        <v>14</v>
      </c>
      <c r="H426">
        <v>7</v>
      </c>
      <c r="I426">
        <v>2</v>
      </c>
      <c r="J426" t="s">
        <v>35</v>
      </c>
      <c r="K426" t="s">
        <v>43</v>
      </c>
      <c r="L426" t="s">
        <v>100</v>
      </c>
      <c r="M426" t="s">
        <v>525</v>
      </c>
      <c r="N426" t="b">
        <v>0</v>
      </c>
      <c r="O426" t="b">
        <v>0</v>
      </c>
    </row>
    <row r="427" spans="1:15">
      <c r="A427">
        <v>426</v>
      </c>
      <c r="B427" s="1">
        <v>45321.347673611112</v>
      </c>
      <c r="C427" s="2">
        <v>45321.503468125004</v>
      </c>
      <c r="D427" s="2">
        <v>45323.869696203707</v>
      </c>
      <c r="E427" t="s">
        <v>11</v>
      </c>
      <c r="F427" t="s">
        <v>4</v>
      </c>
      <c r="G427" t="s">
        <v>17</v>
      </c>
      <c r="H427">
        <v>3</v>
      </c>
      <c r="I427">
        <v>6</v>
      </c>
      <c r="J427" t="s">
        <v>35</v>
      </c>
      <c r="K427" t="s">
        <v>46</v>
      </c>
      <c r="L427" t="s">
        <v>179</v>
      </c>
      <c r="M427" t="s">
        <v>526</v>
      </c>
      <c r="N427" t="b">
        <v>0</v>
      </c>
      <c r="O427" t="b">
        <v>0</v>
      </c>
    </row>
    <row r="428" spans="1:15">
      <c r="A428">
        <v>427</v>
      </c>
      <c r="B428" s="1">
        <v>45321.369791666664</v>
      </c>
      <c r="C428" s="2">
        <v>45322.108364305554</v>
      </c>
      <c r="D428" s="2">
        <v>45323.010866921293</v>
      </c>
      <c r="E428" t="s">
        <v>11</v>
      </c>
      <c r="F428" t="s">
        <v>4</v>
      </c>
      <c r="G428" t="s">
        <v>17</v>
      </c>
      <c r="H428">
        <v>7</v>
      </c>
      <c r="I428">
        <v>7</v>
      </c>
      <c r="J428" t="s">
        <v>31</v>
      </c>
      <c r="K428" t="s">
        <v>43</v>
      </c>
      <c r="L428" t="s">
        <v>78</v>
      </c>
      <c r="M428" t="s">
        <v>527</v>
      </c>
      <c r="N428" t="b">
        <v>0</v>
      </c>
      <c r="O428" t="b">
        <v>0</v>
      </c>
    </row>
    <row r="429" spans="1:15">
      <c r="A429">
        <v>428</v>
      </c>
      <c r="B429" s="1">
        <v>45321.51090277778</v>
      </c>
      <c r="C429" s="2">
        <v>45321.623695682872</v>
      </c>
      <c r="D429" s="2">
        <v>45321.800322997682</v>
      </c>
      <c r="E429" t="s">
        <v>9</v>
      </c>
      <c r="F429" t="s">
        <v>4</v>
      </c>
      <c r="G429" t="s">
        <v>15</v>
      </c>
      <c r="H429">
        <v>1</v>
      </c>
      <c r="I429">
        <v>8</v>
      </c>
      <c r="J429" t="s">
        <v>31</v>
      </c>
      <c r="K429" t="s">
        <v>71</v>
      </c>
      <c r="L429" t="s">
        <v>37</v>
      </c>
      <c r="M429" t="s">
        <v>528</v>
      </c>
      <c r="N429" t="b">
        <v>0</v>
      </c>
      <c r="O429" t="b">
        <v>0</v>
      </c>
    </row>
    <row r="430" spans="1:15">
      <c r="A430">
        <v>429</v>
      </c>
      <c r="B430" s="1">
        <v>45321.763113425928</v>
      </c>
      <c r="C430" s="2">
        <v>45322.511089004627</v>
      </c>
      <c r="D430" s="2">
        <v>45324.163029409719</v>
      </c>
      <c r="E430" t="s">
        <v>11</v>
      </c>
      <c r="F430" t="s">
        <v>4</v>
      </c>
      <c r="G430" t="s">
        <v>16</v>
      </c>
      <c r="H430">
        <v>2</v>
      </c>
      <c r="I430">
        <v>9</v>
      </c>
      <c r="J430" t="s">
        <v>35</v>
      </c>
      <c r="K430" t="s">
        <v>57</v>
      </c>
      <c r="L430" t="s">
        <v>69</v>
      </c>
      <c r="M430" t="s">
        <v>529</v>
      </c>
      <c r="N430" t="b">
        <v>0</v>
      </c>
      <c r="O430" t="b">
        <v>0</v>
      </c>
    </row>
    <row r="431" spans="1:15">
      <c r="A431">
        <v>430</v>
      </c>
      <c r="B431" s="1">
        <v>45321.783784722225</v>
      </c>
      <c r="C431" s="2">
        <v>45321.893742349537</v>
      </c>
      <c r="D431" s="2">
        <v>45323.15505645833</v>
      </c>
      <c r="E431" t="s">
        <v>11</v>
      </c>
      <c r="F431" t="s">
        <v>4</v>
      </c>
      <c r="G431" t="s">
        <v>15</v>
      </c>
      <c r="H431">
        <v>1</v>
      </c>
      <c r="I431">
        <v>7</v>
      </c>
      <c r="J431" t="s">
        <v>49</v>
      </c>
      <c r="K431" t="s">
        <v>71</v>
      </c>
      <c r="L431" t="s">
        <v>156</v>
      </c>
      <c r="M431" t="s">
        <v>530</v>
      </c>
      <c r="N431" t="b">
        <v>0</v>
      </c>
      <c r="O431" t="b">
        <v>0</v>
      </c>
    </row>
    <row r="432" spans="1:15">
      <c r="A432">
        <v>431</v>
      </c>
      <c r="B432" s="1">
        <v>45321.797407407408</v>
      </c>
      <c r="C432" s="2">
        <v>45322.408893796295</v>
      </c>
      <c r="E432" t="s">
        <v>11</v>
      </c>
      <c r="F432" t="s">
        <v>80</v>
      </c>
      <c r="G432" t="s">
        <v>17</v>
      </c>
      <c r="H432">
        <v>1</v>
      </c>
      <c r="I432">
        <v>1</v>
      </c>
      <c r="J432" t="s">
        <v>35</v>
      </c>
      <c r="K432" t="s">
        <v>71</v>
      </c>
      <c r="L432" t="s">
        <v>134</v>
      </c>
      <c r="M432" t="s">
        <v>531</v>
      </c>
      <c r="N432" t="b">
        <v>0</v>
      </c>
      <c r="O432" t="b">
        <v>0</v>
      </c>
    </row>
    <row r="433" spans="1:15">
      <c r="A433">
        <v>432</v>
      </c>
      <c r="B433" s="1">
        <v>45321.899641203701</v>
      </c>
      <c r="C433" s="2">
        <v>45322.077873368056</v>
      </c>
      <c r="D433" s="2">
        <v>45323.185033379632</v>
      </c>
      <c r="E433" t="s">
        <v>11</v>
      </c>
      <c r="F433" t="s">
        <v>2</v>
      </c>
      <c r="G433" t="s">
        <v>15</v>
      </c>
      <c r="H433">
        <v>5</v>
      </c>
      <c r="I433">
        <v>5</v>
      </c>
      <c r="J433" t="s">
        <v>35</v>
      </c>
      <c r="K433" t="s">
        <v>32</v>
      </c>
      <c r="L433" t="s">
        <v>47</v>
      </c>
      <c r="M433" t="s">
        <v>532</v>
      </c>
      <c r="N433" t="b">
        <v>0</v>
      </c>
      <c r="O433" t="b">
        <v>0</v>
      </c>
    </row>
    <row r="434" spans="1:15">
      <c r="A434">
        <v>433</v>
      </c>
      <c r="B434" s="1">
        <v>45321.918009259258</v>
      </c>
      <c r="C434" s="2">
        <v>45322.112715509262</v>
      </c>
      <c r="D434" s="2">
        <v>45324.488428483797</v>
      </c>
      <c r="E434" t="s">
        <v>11</v>
      </c>
      <c r="F434" t="s">
        <v>4</v>
      </c>
      <c r="G434" t="s">
        <v>15</v>
      </c>
      <c r="H434">
        <v>1</v>
      </c>
      <c r="I434">
        <v>3</v>
      </c>
      <c r="J434" t="s">
        <v>49</v>
      </c>
      <c r="K434" t="s">
        <v>71</v>
      </c>
      <c r="L434" t="s">
        <v>113</v>
      </c>
      <c r="M434" t="s">
        <v>533</v>
      </c>
      <c r="N434" t="b">
        <v>0</v>
      </c>
      <c r="O434" t="b">
        <v>0</v>
      </c>
    </row>
    <row r="435" spans="1:15">
      <c r="A435">
        <v>434</v>
      </c>
      <c r="B435" s="1">
        <v>45322.061840277776</v>
      </c>
      <c r="C435" s="2">
        <v>45322.194466168985</v>
      </c>
      <c r="D435" s="2">
        <v>45322.717081249997</v>
      </c>
      <c r="E435" t="s">
        <v>10</v>
      </c>
      <c r="F435" t="s">
        <v>4</v>
      </c>
      <c r="G435" t="s">
        <v>17</v>
      </c>
      <c r="H435">
        <v>5</v>
      </c>
      <c r="I435">
        <v>1</v>
      </c>
      <c r="J435" t="s">
        <v>52</v>
      </c>
      <c r="K435" t="s">
        <v>32</v>
      </c>
      <c r="L435" t="s">
        <v>47</v>
      </c>
      <c r="M435" t="s">
        <v>534</v>
      </c>
      <c r="N435" t="b">
        <v>0</v>
      </c>
      <c r="O435" t="b">
        <v>0</v>
      </c>
    </row>
    <row r="436" spans="1:15">
      <c r="A436">
        <v>435</v>
      </c>
      <c r="B436" s="1">
        <v>45322.069930555554</v>
      </c>
      <c r="C436" s="2">
        <v>45322.342566354164</v>
      </c>
      <c r="D436" s="2">
        <v>45322.590787604167</v>
      </c>
      <c r="E436" t="s">
        <v>10</v>
      </c>
      <c r="F436" t="s">
        <v>4</v>
      </c>
      <c r="G436" t="s">
        <v>17</v>
      </c>
      <c r="H436">
        <v>5</v>
      </c>
      <c r="I436">
        <v>10</v>
      </c>
      <c r="J436" t="s">
        <v>68</v>
      </c>
      <c r="K436" t="s">
        <v>32</v>
      </c>
      <c r="L436" t="s">
        <v>85</v>
      </c>
      <c r="M436" t="s">
        <v>535</v>
      </c>
      <c r="N436" t="b">
        <v>0</v>
      </c>
      <c r="O436" t="b">
        <v>0</v>
      </c>
    </row>
    <row r="437" spans="1:15">
      <c r="A437">
        <v>436</v>
      </c>
      <c r="B437" s="1">
        <v>45322.243136574078</v>
      </c>
      <c r="C437" s="2">
        <v>45322.40653886574</v>
      </c>
      <c r="D437" s="2">
        <v>45322.531381504632</v>
      </c>
      <c r="E437" t="s">
        <v>10</v>
      </c>
      <c r="F437" t="s">
        <v>4</v>
      </c>
      <c r="G437" t="s">
        <v>17</v>
      </c>
      <c r="H437">
        <v>2</v>
      </c>
      <c r="I437">
        <v>2</v>
      </c>
      <c r="J437" t="s">
        <v>31</v>
      </c>
      <c r="K437" t="s">
        <v>57</v>
      </c>
      <c r="L437" t="s">
        <v>276</v>
      </c>
      <c r="M437" t="s">
        <v>536</v>
      </c>
      <c r="N437" t="b">
        <v>0</v>
      </c>
      <c r="O437" t="b">
        <v>0</v>
      </c>
    </row>
    <row r="438" spans="1:15">
      <c r="A438">
        <v>437</v>
      </c>
      <c r="B438" s="1">
        <v>45322.345567129632</v>
      </c>
      <c r="C438" s="2">
        <v>45322.40177034722</v>
      </c>
      <c r="D438" s="2">
        <v>45322.628484583336</v>
      </c>
      <c r="E438" t="s">
        <v>10</v>
      </c>
      <c r="F438" t="s">
        <v>4</v>
      </c>
      <c r="G438" t="s">
        <v>15</v>
      </c>
      <c r="H438">
        <v>1</v>
      </c>
      <c r="I438">
        <v>3</v>
      </c>
      <c r="J438" t="s">
        <v>49</v>
      </c>
      <c r="K438" t="s">
        <v>71</v>
      </c>
      <c r="L438" t="s">
        <v>121</v>
      </c>
      <c r="M438" t="s">
        <v>537</v>
      </c>
      <c r="N438" t="b">
        <v>0</v>
      </c>
      <c r="O438" t="b">
        <v>0</v>
      </c>
    </row>
    <row r="439" spans="1:15">
      <c r="A439">
        <v>438</v>
      </c>
      <c r="B439" s="1">
        <v>45322.357152777775</v>
      </c>
      <c r="C439" s="2">
        <v>45323.118339236113</v>
      </c>
      <c r="D439" s="2">
        <v>45323.57959577546</v>
      </c>
      <c r="E439" t="s">
        <v>11</v>
      </c>
      <c r="F439" t="s">
        <v>4</v>
      </c>
      <c r="G439" t="s">
        <v>16</v>
      </c>
      <c r="H439">
        <v>2</v>
      </c>
      <c r="I439">
        <v>4</v>
      </c>
      <c r="J439" t="s">
        <v>52</v>
      </c>
      <c r="K439" t="s">
        <v>57</v>
      </c>
      <c r="L439" t="s">
        <v>87</v>
      </c>
      <c r="M439" t="s">
        <v>538</v>
      </c>
      <c r="N439" t="b">
        <v>0</v>
      </c>
      <c r="O439" t="b">
        <v>0</v>
      </c>
    </row>
    <row r="440" spans="1:15">
      <c r="A440">
        <v>439</v>
      </c>
      <c r="B440" s="1">
        <v>45322.358182870368</v>
      </c>
      <c r="C440" s="2">
        <v>45322.431154502316</v>
      </c>
      <c r="D440" s="2">
        <v>45323.314532152777</v>
      </c>
      <c r="E440" t="s">
        <v>10</v>
      </c>
      <c r="F440" t="s">
        <v>4</v>
      </c>
      <c r="G440" t="s">
        <v>14</v>
      </c>
      <c r="H440">
        <v>2</v>
      </c>
      <c r="I440">
        <v>5</v>
      </c>
      <c r="J440" t="s">
        <v>35</v>
      </c>
      <c r="K440" t="s">
        <v>57</v>
      </c>
      <c r="L440" t="s">
        <v>98</v>
      </c>
      <c r="M440" t="s">
        <v>539</v>
      </c>
      <c r="N440" t="b">
        <v>1</v>
      </c>
      <c r="O440" t="b">
        <v>0</v>
      </c>
    </row>
    <row r="441" spans="1:15">
      <c r="A441">
        <v>440</v>
      </c>
      <c r="B441" s="1">
        <v>45322.359050925923</v>
      </c>
      <c r="C441" s="2">
        <v>45322.545761435184</v>
      </c>
      <c r="D441" s="2">
        <v>45322.705444479165</v>
      </c>
      <c r="E441" t="s">
        <v>10</v>
      </c>
      <c r="F441" t="s">
        <v>4</v>
      </c>
      <c r="G441" t="s">
        <v>16</v>
      </c>
      <c r="H441">
        <v>5</v>
      </c>
      <c r="I441">
        <v>7</v>
      </c>
      <c r="J441" t="s">
        <v>49</v>
      </c>
      <c r="K441" t="s">
        <v>32</v>
      </c>
      <c r="L441" t="s">
        <v>138</v>
      </c>
      <c r="M441" t="s">
        <v>540</v>
      </c>
      <c r="N441" t="b">
        <v>0</v>
      </c>
      <c r="O441" t="b">
        <v>0</v>
      </c>
    </row>
    <row r="442" spans="1:15">
      <c r="A442">
        <v>441</v>
      </c>
      <c r="B442" s="1">
        <v>45322.481296296297</v>
      </c>
      <c r="C442" s="2">
        <v>45322.633495613423</v>
      </c>
      <c r="D442" s="2">
        <v>45325.065160162034</v>
      </c>
      <c r="E442" t="s">
        <v>11</v>
      </c>
      <c r="F442" t="s">
        <v>4</v>
      </c>
      <c r="G442" t="s">
        <v>15</v>
      </c>
      <c r="H442">
        <v>8</v>
      </c>
      <c r="I442">
        <v>4</v>
      </c>
      <c r="J442" t="s">
        <v>49</v>
      </c>
      <c r="K442" t="s">
        <v>36</v>
      </c>
      <c r="L442" t="s">
        <v>124</v>
      </c>
      <c r="M442" t="s">
        <v>541</v>
      </c>
      <c r="N442" t="b">
        <v>0</v>
      </c>
      <c r="O442" t="b">
        <v>0</v>
      </c>
    </row>
    <row r="443" spans="1:15">
      <c r="A443">
        <v>442</v>
      </c>
      <c r="B443" s="1">
        <v>45322.690254629626</v>
      </c>
      <c r="C443" s="2">
        <v>45322.875234004627</v>
      </c>
      <c r="D443" s="2">
        <v>45323.729825092596</v>
      </c>
      <c r="E443" t="s">
        <v>11</v>
      </c>
      <c r="F443" t="s">
        <v>4</v>
      </c>
      <c r="G443" t="s">
        <v>16</v>
      </c>
      <c r="H443">
        <v>4</v>
      </c>
      <c r="I443">
        <v>8</v>
      </c>
      <c r="J443" t="s">
        <v>68</v>
      </c>
      <c r="K443" t="s">
        <v>40</v>
      </c>
      <c r="L443" t="s">
        <v>121</v>
      </c>
      <c r="M443" t="s">
        <v>542</v>
      </c>
      <c r="N443" t="b">
        <v>0</v>
      </c>
      <c r="O443" t="b">
        <v>0</v>
      </c>
    </row>
    <row r="444" spans="1:15">
      <c r="A444">
        <v>443</v>
      </c>
      <c r="B444" s="1">
        <v>45322.690763888888</v>
      </c>
      <c r="C444" s="2">
        <v>45322.733942893516</v>
      </c>
      <c r="D444" s="2">
        <v>45323.622421342596</v>
      </c>
      <c r="E444" t="s">
        <v>10</v>
      </c>
      <c r="F444" t="s">
        <v>4</v>
      </c>
      <c r="G444" t="s">
        <v>14</v>
      </c>
      <c r="H444">
        <v>6</v>
      </c>
      <c r="I444">
        <v>2</v>
      </c>
      <c r="J444" t="s">
        <v>52</v>
      </c>
      <c r="K444" t="s">
        <v>73</v>
      </c>
      <c r="L444" t="s">
        <v>121</v>
      </c>
      <c r="M444" t="s">
        <v>543</v>
      </c>
      <c r="N444" t="b">
        <v>1</v>
      </c>
      <c r="O444" t="b">
        <v>0</v>
      </c>
    </row>
    <row r="445" spans="1:15">
      <c r="A445">
        <v>444</v>
      </c>
      <c r="B445" s="1">
        <v>45322.758321759262</v>
      </c>
      <c r="C445" s="2">
        <v>45322.975133263892</v>
      </c>
      <c r="D445" s="2">
        <v>45325.451803009259</v>
      </c>
      <c r="E445" t="s">
        <v>11</v>
      </c>
      <c r="F445" t="s">
        <v>4</v>
      </c>
      <c r="G445" t="s">
        <v>17</v>
      </c>
      <c r="H445">
        <v>3</v>
      </c>
      <c r="I445">
        <v>10</v>
      </c>
      <c r="J445" t="s">
        <v>68</v>
      </c>
      <c r="K445" t="s">
        <v>46</v>
      </c>
      <c r="L445" t="s">
        <v>124</v>
      </c>
      <c r="M445" t="s">
        <v>544</v>
      </c>
      <c r="N445" t="b">
        <v>0</v>
      </c>
      <c r="O445" t="b">
        <v>0</v>
      </c>
    </row>
    <row r="446" spans="1:15">
      <c r="A446">
        <v>445</v>
      </c>
      <c r="B446" s="1">
        <v>45322.861006944448</v>
      </c>
      <c r="C446" s="2">
        <v>45322.948049050923</v>
      </c>
      <c r="D446" s="2">
        <v>45323.510822164353</v>
      </c>
      <c r="E446" t="s">
        <v>10</v>
      </c>
      <c r="F446" t="s">
        <v>4</v>
      </c>
      <c r="G446" t="s">
        <v>15</v>
      </c>
      <c r="H446">
        <v>1</v>
      </c>
      <c r="I446">
        <v>9</v>
      </c>
      <c r="J446" t="s">
        <v>31</v>
      </c>
      <c r="K446" t="s">
        <v>71</v>
      </c>
      <c r="L446" t="s">
        <v>136</v>
      </c>
      <c r="M446" t="s">
        <v>545</v>
      </c>
      <c r="N446" t="b">
        <v>0</v>
      </c>
      <c r="O446" t="b">
        <v>0</v>
      </c>
    </row>
    <row r="447" spans="1:15">
      <c r="A447">
        <v>446</v>
      </c>
      <c r="B447" s="1">
        <v>45322.884074074071</v>
      </c>
      <c r="C447" s="2">
        <v>45322.973453055558</v>
      </c>
      <c r="D447" s="2">
        <v>45323.57248761574</v>
      </c>
      <c r="E447" t="s">
        <v>10</v>
      </c>
      <c r="F447" t="s">
        <v>4</v>
      </c>
      <c r="G447" t="s">
        <v>15</v>
      </c>
      <c r="H447">
        <v>2</v>
      </c>
      <c r="I447">
        <v>6</v>
      </c>
      <c r="J447" t="s">
        <v>52</v>
      </c>
      <c r="K447" t="s">
        <v>57</v>
      </c>
      <c r="L447" t="s">
        <v>250</v>
      </c>
      <c r="M447" t="s">
        <v>546</v>
      </c>
      <c r="N447" t="b">
        <v>0</v>
      </c>
      <c r="O447" t="b">
        <v>0</v>
      </c>
    </row>
    <row r="448" spans="1:15">
      <c r="A448">
        <v>447</v>
      </c>
      <c r="B448" s="1">
        <v>45322.892916666664</v>
      </c>
      <c r="C448" s="2">
        <v>45322.971452141202</v>
      </c>
      <c r="D448" s="2">
        <v>45323.227505057868</v>
      </c>
      <c r="E448" t="s">
        <v>10</v>
      </c>
      <c r="F448" t="s">
        <v>4</v>
      </c>
      <c r="G448" t="s">
        <v>14</v>
      </c>
      <c r="H448">
        <v>4</v>
      </c>
      <c r="I448">
        <v>1</v>
      </c>
      <c r="J448" t="s">
        <v>49</v>
      </c>
      <c r="K448" t="s">
        <v>40</v>
      </c>
      <c r="L448" t="s">
        <v>156</v>
      </c>
      <c r="M448" t="s">
        <v>547</v>
      </c>
      <c r="N448" t="b">
        <v>0</v>
      </c>
      <c r="O448" t="b">
        <v>0</v>
      </c>
    </row>
    <row r="449" spans="1:15">
      <c r="A449">
        <v>448</v>
      </c>
      <c r="B449" s="1">
        <v>45323.038194444445</v>
      </c>
      <c r="C449" s="2">
        <v>45323.823844236111</v>
      </c>
      <c r="D449" s="2">
        <v>45324.585497071763</v>
      </c>
      <c r="E449" t="s">
        <v>11</v>
      </c>
      <c r="F449" t="s">
        <v>4</v>
      </c>
      <c r="G449" t="s">
        <v>17</v>
      </c>
      <c r="H449">
        <v>7</v>
      </c>
      <c r="I449">
        <v>8</v>
      </c>
      <c r="J449" t="s">
        <v>35</v>
      </c>
      <c r="K449" t="s">
        <v>43</v>
      </c>
      <c r="L449" t="s">
        <v>93</v>
      </c>
      <c r="M449" t="s">
        <v>548</v>
      </c>
      <c r="N449" t="b">
        <v>0</v>
      </c>
      <c r="O449" t="b">
        <v>0</v>
      </c>
    </row>
    <row r="450" spans="1:15">
      <c r="A450">
        <v>449</v>
      </c>
      <c r="B450" s="1">
        <v>45323.174444444441</v>
      </c>
      <c r="C450" s="2">
        <v>45323.245555277776</v>
      </c>
      <c r="E450" t="s">
        <v>10</v>
      </c>
      <c r="F450" t="s">
        <v>3</v>
      </c>
      <c r="G450" t="s">
        <v>17</v>
      </c>
      <c r="H450">
        <v>2</v>
      </c>
      <c r="I450">
        <v>8</v>
      </c>
      <c r="J450" t="s">
        <v>31</v>
      </c>
      <c r="K450" t="s">
        <v>57</v>
      </c>
      <c r="L450" t="s">
        <v>127</v>
      </c>
      <c r="M450" t="s">
        <v>549</v>
      </c>
      <c r="N450" t="b">
        <v>0</v>
      </c>
      <c r="O450" t="b">
        <v>0</v>
      </c>
    </row>
    <row r="451" spans="1:15">
      <c r="A451">
        <v>450</v>
      </c>
      <c r="B451" s="1">
        <v>45323.189837962964</v>
      </c>
      <c r="C451" s="2">
        <v>45323.328636388891</v>
      </c>
      <c r="D451" s="2">
        <v>45323.64456951389</v>
      </c>
      <c r="E451" t="s">
        <v>10</v>
      </c>
      <c r="F451" t="s">
        <v>4</v>
      </c>
      <c r="G451" t="s">
        <v>14</v>
      </c>
      <c r="H451">
        <v>8</v>
      </c>
      <c r="I451">
        <v>7</v>
      </c>
      <c r="J451" t="s">
        <v>49</v>
      </c>
      <c r="K451" t="s">
        <v>36</v>
      </c>
      <c r="L451" t="s">
        <v>213</v>
      </c>
      <c r="M451" t="s">
        <v>550</v>
      </c>
      <c r="N451" t="b">
        <v>0</v>
      </c>
      <c r="O451" t="b">
        <v>0</v>
      </c>
    </row>
    <row r="452" spans="1:15">
      <c r="A452">
        <v>451</v>
      </c>
      <c r="B452" s="1">
        <v>45323.191655092596</v>
      </c>
      <c r="C452" s="2">
        <v>45323.904038402776</v>
      </c>
      <c r="D452" s="2">
        <v>45325.118809745371</v>
      </c>
      <c r="E452" t="s">
        <v>11</v>
      </c>
      <c r="F452" t="s">
        <v>4</v>
      </c>
      <c r="G452" t="s">
        <v>14</v>
      </c>
      <c r="H452">
        <v>6</v>
      </c>
      <c r="I452">
        <v>3</v>
      </c>
      <c r="J452" t="s">
        <v>31</v>
      </c>
      <c r="K452" t="s">
        <v>73</v>
      </c>
      <c r="L452" t="s">
        <v>171</v>
      </c>
      <c r="M452" t="s">
        <v>551</v>
      </c>
      <c r="N452" t="b">
        <v>0</v>
      </c>
      <c r="O452" t="b">
        <v>0</v>
      </c>
    </row>
    <row r="453" spans="1:15">
      <c r="A453">
        <v>452</v>
      </c>
      <c r="B453" s="1">
        <v>45323.203414351854</v>
      </c>
      <c r="C453" s="2">
        <v>45323.790386307868</v>
      </c>
      <c r="D453" s="2">
        <v>45324.099430706017</v>
      </c>
      <c r="E453" t="s">
        <v>11</v>
      </c>
      <c r="F453" t="s">
        <v>4</v>
      </c>
      <c r="G453" t="s">
        <v>17</v>
      </c>
      <c r="H453">
        <v>3</v>
      </c>
      <c r="I453">
        <v>5</v>
      </c>
      <c r="J453" t="s">
        <v>68</v>
      </c>
      <c r="K453" t="s">
        <v>46</v>
      </c>
      <c r="L453" t="s">
        <v>75</v>
      </c>
      <c r="M453" t="s">
        <v>552</v>
      </c>
      <c r="N453" t="b">
        <v>0</v>
      </c>
      <c r="O453" t="b">
        <v>0</v>
      </c>
    </row>
    <row r="454" spans="1:15">
      <c r="A454">
        <v>453</v>
      </c>
      <c r="B454" s="1">
        <v>45323.447060185186</v>
      </c>
      <c r="C454" s="2">
        <v>45323.494625624997</v>
      </c>
      <c r="D454" s="2">
        <v>45323.549194918982</v>
      </c>
      <c r="E454" t="s">
        <v>9</v>
      </c>
      <c r="F454" t="s">
        <v>4</v>
      </c>
      <c r="G454" t="s">
        <v>16</v>
      </c>
      <c r="H454">
        <v>5</v>
      </c>
      <c r="I454">
        <v>5</v>
      </c>
      <c r="J454" t="s">
        <v>35</v>
      </c>
      <c r="K454" t="s">
        <v>32</v>
      </c>
      <c r="L454" t="s">
        <v>138</v>
      </c>
      <c r="M454" t="s">
        <v>553</v>
      </c>
      <c r="N454" t="b">
        <v>0</v>
      </c>
      <c r="O454" t="b">
        <v>0</v>
      </c>
    </row>
    <row r="455" spans="1:15">
      <c r="A455">
        <v>454</v>
      </c>
      <c r="B455" s="1">
        <v>45323.457835648151</v>
      </c>
      <c r="C455" s="2">
        <v>45323.634778969907</v>
      </c>
      <c r="D455" s="2">
        <v>45323.89359097222</v>
      </c>
      <c r="E455" t="s">
        <v>10</v>
      </c>
      <c r="F455" t="s">
        <v>4</v>
      </c>
      <c r="G455" t="s">
        <v>15</v>
      </c>
      <c r="H455">
        <v>6</v>
      </c>
      <c r="I455">
        <v>7</v>
      </c>
      <c r="J455" t="s">
        <v>52</v>
      </c>
      <c r="K455" t="s">
        <v>73</v>
      </c>
      <c r="L455" t="s">
        <v>93</v>
      </c>
      <c r="M455" t="s">
        <v>554</v>
      </c>
      <c r="N455" t="b">
        <v>0</v>
      </c>
      <c r="O455" t="b">
        <v>0</v>
      </c>
    </row>
    <row r="456" spans="1:15">
      <c r="A456">
        <v>455</v>
      </c>
      <c r="B456" s="1">
        <v>45323.571516203701</v>
      </c>
      <c r="C456" s="2">
        <v>45323.843282997688</v>
      </c>
      <c r="D456" s="2">
        <v>45325.409087037035</v>
      </c>
      <c r="E456" t="s">
        <v>11</v>
      </c>
      <c r="F456" t="s">
        <v>4</v>
      </c>
      <c r="G456" t="s">
        <v>14</v>
      </c>
      <c r="H456">
        <v>6</v>
      </c>
      <c r="I456">
        <v>4</v>
      </c>
      <c r="J456" t="s">
        <v>31</v>
      </c>
      <c r="K456" t="s">
        <v>73</v>
      </c>
      <c r="L456" t="s">
        <v>58</v>
      </c>
      <c r="M456" t="s">
        <v>555</v>
      </c>
      <c r="N456" t="b">
        <v>0</v>
      </c>
      <c r="O456" t="b">
        <v>0</v>
      </c>
    </row>
    <row r="457" spans="1:15">
      <c r="A457">
        <v>456</v>
      </c>
      <c r="B457" s="1">
        <v>45323.706018518518</v>
      </c>
      <c r="C457" s="2">
        <v>45324.344421539354</v>
      </c>
      <c r="D457" s="2">
        <v>45326.118917569445</v>
      </c>
      <c r="E457" t="s">
        <v>11</v>
      </c>
      <c r="F457" t="s">
        <v>4</v>
      </c>
      <c r="G457" t="s">
        <v>17</v>
      </c>
      <c r="H457">
        <v>7</v>
      </c>
      <c r="I457">
        <v>5</v>
      </c>
      <c r="J457" t="s">
        <v>39</v>
      </c>
      <c r="K457" t="s">
        <v>43</v>
      </c>
      <c r="L457" t="s">
        <v>171</v>
      </c>
      <c r="M457" t="s">
        <v>556</v>
      </c>
      <c r="N457" t="b">
        <v>0</v>
      </c>
      <c r="O457" t="b">
        <v>0</v>
      </c>
    </row>
    <row r="458" spans="1:15">
      <c r="A458">
        <v>457</v>
      </c>
      <c r="B458" s="1">
        <v>45323.744259259256</v>
      </c>
      <c r="C458" s="2">
        <v>45323.802977060186</v>
      </c>
      <c r="D458" s="2">
        <v>45324.209275150461</v>
      </c>
      <c r="E458" t="s">
        <v>10</v>
      </c>
      <c r="F458" t="s">
        <v>4</v>
      </c>
      <c r="G458" t="s">
        <v>15</v>
      </c>
      <c r="H458">
        <v>6</v>
      </c>
      <c r="I458">
        <v>10</v>
      </c>
      <c r="J458" t="s">
        <v>49</v>
      </c>
      <c r="K458" t="s">
        <v>73</v>
      </c>
      <c r="L458" t="s">
        <v>192</v>
      </c>
      <c r="M458" t="s">
        <v>557</v>
      </c>
      <c r="N458" t="b">
        <v>0</v>
      </c>
      <c r="O458" t="b">
        <v>0</v>
      </c>
    </row>
    <row r="459" spans="1:15">
      <c r="A459">
        <v>458</v>
      </c>
      <c r="B459" s="1">
        <v>45323.801759259259</v>
      </c>
      <c r="C459" s="2">
        <v>45323.886341435187</v>
      </c>
      <c r="D459" s="2">
        <v>45324.667470671295</v>
      </c>
      <c r="E459" t="s">
        <v>10</v>
      </c>
      <c r="F459" t="s">
        <v>4</v>
      </c>
      <c r="G459" t="s">
        <v>15</v>
      </c>
      <c r="H459">
        <v>1</v>
      </c>
      <c r="I459">
        <v>5</v>
      </c>
      <c r="J459" t="s">
        <v>52</v>
      </c>
      <c r="K459" t="s">
        <v>71</v>
      </c>
      <c r="L459" t="s">
        <v>253</v>
      </c>
      <c r="M459" t="s">
        <v>558</v>
      </c>
      <c r="N459" t="b">
        <v>0</v>
      </c>
      <c r="O459" t="b">
        <v>0</v>
      </c>
    </row>
    <row r="460" spans="1:15">
      <c r="A460">
        <v>459</v>
      </c>
      <c r="B460" s="1">
        <v>45323.900150462963</v>
      </c>
      <c r="C460" s="2">
        <v>45324.080733078707</v>
      </c>
      <c r="D460" s="2">
        <v>45324.518625625002</v>
      </c>
      <c r="E460" t="s">
        <v>10</v>
      </c>
      <c r="F460" t="s">
        <v>4</v>
      </c>
      <c r="G460" t="s">
        <v>14</v>
      </c>
      <c r="H460">
        <v>4</v>
      </c>
      <c r="I460">
        <v>6</v>
      </c>
      <c r="J460" t="s">
        <v>35</v>
      </c>
      <c r="K460" t="s">
        <v>40</v>
      </c>
      <c r="L460" t="s">
        <v>41</v>
      </c>
      <c r="M460" t="s">
        <v>559</v>
      </c>
      <c r="N460" t="b">
        <v>0</v>
      </c>
      <c r="O460" t="b">
        <v>0</v>
      </c>
    </row>
    <row r="461" spans="1:15">
      <c r="A461">
        <v>460</v>
      </c>
      <c r="B461" s="1">
        <v>45323.972407407404</v>
      </c>
      <c r="C461" s="2">
        <v>45324.09354321759</v>
      </c>
      <c r="D461" s="2">
        <v>45326.739664814813</v>
      </c>
      <c r="E461" t="s">
        <v>11</v>
      </c>
      <c r="F461" t="s">
        <v>4</v>
      </c>
      <c r="G461" t="s">
        <v>17</v>
      </c>
      <c r="H461">
        <v>8</v>
      </c>
      <c r="I461">
        <v>10</v>
      </c>
      <c r="J461" t="s">
        <v>31</v>
      </c>
      <c r="K461" t="s">
        <v>36</v>
      </c>
      <c r="L461" t="s">
        <v>50</v>
      </c>
      <c r="M461" t="s">
        <v>560</v>
      </c>
      <c r="N461" t="b">
        <v>1</v>
      </c>
      <c r="O461" t="b">
        <v>0</v>
      </c>
    </row>
    <row r="462" spans="1:15">
      <c r="A462">
        <v>461</v>
      </c>
      <c r="B462" s="1">
        <v>45324.025879629633</v>
      </c>
      <c r="C462" s="2">
        <v>45324.247131979166</v>
      </c>
      <c r="D462" s="2">
        <v>45324.77161729167</v>
      </c>
      <c r="E462" t="s">
        <v>10</v>
      </c>
      <c r="F462" t="s">
        <v>4</v>
      </c>
      <c r="G462" t="s">
        <v>15</v>
      </c>
      <c r="H462">
        <v>2</v>
      </c>
      <c r="I462">
        <v>10</v>
      </c>
      <c r="J462" t="s">
        <v>39</v>
      </c>
      <c r="K462" t="s">
        <v>57</v>
      </c>
      <c r="L462" t="s">
        <v>104</v>
      </c>
      <c r="M462" t="s">
        <v>561</v>
      </c>
      <c r="N462" t="b">
        <v>0</v>
      </c>
      <c r="O462" t="b">
        <v>0</v>
      </c>
    </row>
    <row r="463" spans="1:15">
      <c r="A463">
        <v>462</v>
      </c>
      <c r="B463" s="1">
        <v>45324.142118055555</v>
      </c>
      <c r="C463" s="2">
        <v>45324.228229236112</v>
      </c>
      <c r="D463" s="2">
        <v>45326.458187893521</v>
      </c>
      <c r="E463" t="s">
        <v>11</v>
      </c>
      <c r="F463" t="s">
        <v>4</v>
      </c>
      <c r="G463" t="s">
        <v>15</v>
      </c>
      <c r="H463">
        <v>4</v>
      </c>
      <c r="I463">
        <v>6</v>
      </c>
      <c r="J463" t="s">
        <v>52</v>
      </c>
      <c r="K463" t="s">
        <v>40</v>
      </c>
      <c r="L463" t="s">
        <v>117</v>
      </c>
      <c r="M463" t="s">
        <v>562</v>
      </c>
      <c r="N463" t="b">
        <v>0</v>
      </c>
      <c r="O463" t="b">
        <v>0</v>
      </c>
    </row>
    <row r="464" spans="1:15">
      <c r="A464">
        <v>463</v>
      </c>
      <c r="B464" s="1">
        <v>45324.504317129627</v>
      </c>
      <c r="C464" s="2">
        <v>45324.551214178238</v>
      </c>
      <c r="E464" t="s">
        <v>9</v>
      </c>
      <c r="F464" t="s">
        <v>80</v>
      </c>
      <c r="G464" t="s">
        <v>14</v>
      </c>
      <c r="H464">
        <v>5</v>
      </c>
      <c r="I464">
        <v>3</v>
      </c>
      <c r="J464" t="s">
        <v>31</v>
      </c>
      <c r="K464" t="s">
        <v>32</v>
      </c>
      <c r="L464" t="s">
        <v>104</v>
      </c>
      <c r="M464" t="s">
        <v>563</v>
      </c>
      <c r="N464" t="b">
        <v>1</v>
      </c>
      <c r="O464" t="b">
        <v>0</v>
      </c>
    </row>
    <row r="465" spans="1:15">
      <c r="A465">
        <v>464</v>
      </c>
      <c r="B465" s="1">
        <v>45324.515659722223</v>
      </c>
      <c r="C465" s="2">
        <v>45325.345822407406</v>
      </c>
      <c r="D465" s="2">
        <v>45325.928286469905</v>
      </c>
      <c r="E465" t="s">
        <v>11</v>
      </c>
      <c r="F465" t="s">
        <v>4</v>
      </c>
      <c r="G465" t="s">
        <v>15</v>
      </c>
      <c r="H465">
        <v>5</v>
      </c>
      <c r="I465">
        <v>2</v>
      </c>
      <c r="J465" t="s">
        <v>35</v>
      </c>
      <c r="K465" t="s">
        <v>32</v>
      </c>
      <c r="L465" t="s">
        <v>58</v>
      </c>
      <c r="M465" t="s">
        <v>564</v>
      </c>
      <c r="N465" t="b">
        <v>0</v>
      </c>
      <c r="O465" t="b">
        <v>0</v>
      </c>
    </row>
    <row r="466" spans="1:15">
      <c r="A466">
        <v>465</v>
      </c>
      <c r="B466" s="1">
        <v>45324.518368055556</v>
      </c>
      <c r="C466" s="2">
        <v>45324.642816064814</v>
      </c>
      <c r="D466" s="2">
        <v>45324.727967696759</v>
      </c>
      <c r="E466" t="s">
        <v>9</v>
      </c>
      <c r="F466" t="s">
        <v>2</v>
      </c>
      <c r="G466" t="s">
        <v>15</v>
      </c>
      <c r="H466">
        <v>7</v>
      </c>
      <c r="I466">
        <v>9</v>
      </c>
      <c r="J466" t="s">
        <v>68</v>
      </c>
      <c r="K466" t="s">
        <v>43</v>
      </c>
      <c r="L466" t="s">
        <v>60</v>
      </c>
      <c r="M466" t="s">
        <v>565</v>
      </c>
      <c r="N466" t="b">
        <v>0</v>
      </c>
      <c r="O466" t="b">
        <v>0</v>
      </c>
    </row>
    <row r="467" spans="1:15">
      <c r="A467">
        <v>466</v>
      </c>
      <c r="B467" s="1">
        <v>45324.570983796293</v>
      </c>
      <c r="C467" s="2">
        <v>45325.105758715275</v>
      </c>
      <c r="E467" t="s">
        <v>11</v>
      </c>
      <c r="F467" t="s">
        <v>80</v>
      </c>
      <c r="G467" t="s">
        <v>14</v>
      </c>
      <c r="H467">
        <v>5</v>
      </c>
      <c r="I467">
        <v>6</v>
      </c>
      <c r="J467" t="s">
        <v>68</v>
      </c>
      <c r="K467" t="s">
        <v>32</v>
      </c>
      <c r="L467" t="s">
        <v>138</v>
      </c>
      <c r="M467" t="s">
        <v>566</v>
      </c>
      <c r="N467" t="b">
        <v>0</v>
      </c>
      <c r="O467" t="b">
        <v>0</v>
      </c>
    </row>
    <row r="468" spans="1:15">
      <c r="A468">
        <v>467</v>
      </c>
      <c r="B468" s="1">
        <v>45324.59888888889</v>
      </c>
      <c r="C468" s="2">
        <v>45324.64218771991</v>
      </c>
      <c r="D468" s="2">
        <v>45324.807731064815</v>
      </c>
      <c r="E468" t="s">
        <v>9</v>
      </c>
      <c r="F468" t="s">
        <v>4</v>
      </c>
      <c r="G468" t="s">
        <v>15</v>
      </c>
      <c r="H468">
        <v>1</v>
      </c>
      <c r="I468">
        <v>6</v>
      </c>
      <c r="J468" t="s">
        <v>52</v>
      </c>
      <c r="K468" t="s">
        <v>71</v>
      </c>
      <c r="L468" t="s">
        <v>136</v>
      </c>
      <c r="M468" t="s">
        <v>567</v>
      </c>
      <c r="N468" t="b">
        <v>0</v>
      </c>
      <c r="O468" t="b">
        <v>0</v>
      </c>
    </row>
    <row r="469" spans="1:15">
      <c r="A469">
        <v>468</v>
      </c>
      <c r="B469" s="1">
        <v>45324.600428240738</v>
      </c>
      <c r="C469" s="2">
        <v>45324.721101041665</v>
      </c>
      <c r="D469" s="2">
        <v>45324.822948356479</v>
      </c>
      <c r="E469" t="s">
        <v>9</v>
      </c>
      <c r="F469" t="s">
        <v>4</v>
      </c>
      <c r="G469" t="s">
        <v>15</v>
      </c>
      <c r="H469">
        <v>2</v>
      </c>
      <c r="I469">
        <v>10</v>
      </c>
      <c r="J469" t="s">
        <v>68</v>
      </c>
      <c r="K469" t="s">
        <v>57</v>
      </c>
      <c r="L469" t="s">
        <v>188</v>
      </c>
      <c r="M469" t="s">
        <v>568</v>
      </c>
      <c r="N469" t="b">
        <v>0</v>
      </c>
      <c r="O469" t="b">
        <v>0</v>
      </c>
    </row>
    <row r="470" spans="1:15">
      <c r="A470">
        <v>469</v>
      </c>
      <c r="B470" s="1">
        <v>45324.602314814816</v>
      </c>
      <c r="C470" s="2">
        <v>45324.894415150462</v>
      </c>
      <c r="E470" t="s">
        <v>10</v>
      </c>
      <c r="F470" t="s">
        <v>3</v>
      </c>
      <c r="G470" t="s">
        <v>17</v>
      </c>
      <c r="H470">
        <v>6</v>
      </c>
      <c r="I470">
        <v>4</v>
      </c>
      <c r="J470" t="s">
        <v>68</v>
      </c>
      <c r="K470" t="s">
        <v>73</v>
      </c>
      <c r="L470" t="s">
        <v>174</v>
      </c>
      <c r="M470" t="s">
        <v>569</v>
      </c>
      <c r="N470" t="b">
        <v>0</v>
      </c>
      <c r="O470" t="b">
        <v>0</v>
      </c>
    </row>
    <row r="471" spans="1:15">
      <c r="A471">
        <v>470</v>
      </c>
      <c r="B471" s="1">
        <v>45324.641944444447</v>
      </c>
      <c r="C471" s="2">
        <v>45324.965334004628</v>
      </c>
      <c r="D471" s="2">
        <v>45325.053283090281</v>
      </c>
      <c r="E471" t="s">
        <v>10</v>
      </c>
      <c r="F471" t="s">
        <v>4</v>
      </c>
      <c r="G471" t="s">
        <v>17</v>
      </c>
      <c r="H471">
        <v>7</v>
      </c>
      <c r="I471">
        <v>2</v>
      </c>
      <c r="J471" t="s">
        <v>31</v>
      </c>
      <c r="K471" t="s">
        <v>43</v>
      </c>
      <c r="L471" t="s">
        <v>127</v>
      </c>
      <c r="M471" t="s">
        <v>570</v>
      </c>
      <c r="N471" t="b">
        <v>0</v>
      </c>
      <c r="O471" t="b">
        <v>0</v>
      </c>
    </row>
    <row r="472" spans="1:15">
      <c r="A472">
        <v>471</v>
      </c>
      <c r="B472" s="1">
        <v>45324.66846064815</v>
      </c>
      <c r="C472" s="2">
        <v>45324.784699097225</v>
      </c>
      <c r="D472" s="2">
        <v>45324.938959803243</v>
      </c>
      <c r="E472" t="s">
        <v>10</v>
      </c>
      <c r="F472" t="s">
        <v>4</v>
      </c>
      <c r="G472" t="s">
        <v>17</v>
      </c>
      <c r="H472">
        <v>6</v>
      </c>
      <c r="I472">
        <v>7</v>
      </c>
      <c r="J472" t="s">
        <v>68</v>
      </c>
      <c r="K472" t="s">
        <v>73</v>
      </c>
      <c r="L472" t="s">
        <v>110</v>
      </c>
      <c r="M472" t="s">
        <v>571</v>
      </c>
      <c r="N472" t="b">
        <v>0</v>
      </c>
      <c r="O472" t="b">
        <v>0</v>
      </c>
    </row>
    <row r="473" spans="1:15">
      <c r="A473">
        <v>472</v>
      </c>
      <c r="B473" s="1">
        <v>45324.72892361111</v>
      </c>
      <c r="C473" s="2">
        <v>45325.020812627314</v>
      </c>
      <c r="E473" t="s">
        <v>10</v>
      </c>
      <c r="F473" t="s">
        <v>3</v>
      </c>
      <c r="G473" t="s">
        <v>15</v>
      </c>
      <c r="H473">
        <v>6</v>
      </c>
      <c r="I473">
        <v>10</v>
      </c>
      <c r="J473" t="s">
        <v>31</v>
      </c>
      <c r="K473" t="s">
        <v>73</v>
      </c>
      <c r="L473" t="s">
        <v>104</v>
      </c>
      <c r="M473" t="s">
        <v>572</v>
      </c>
      <c r="N473" t="b">
        <v>0</v>
      </c>
      <c r="O473" t="b">
        <v>0</v>
      </c>
    </row>
    <row r="474" spans="1:15">
      <c r="A474">
        <v>473</v>
      </c>
      <c r="B474" s="1">
        <v>45325.082928240743</v>
      </c>
      <c r="C474" s="2">
        <v>45325.560580509256</v>
      </c>
      <c r="D474" s="2">
        <v>45327.540478726849</v>
      </c>
      <c r="E474" t="s">
        <v>11</v>
      </c>
      <c r="F474" t="s">
        <v>4</v>
      </c>
      <c r="G474" t="s">
        <v>17</v>
      </c>
      <c r="H474">
        <v>2</v>
      </c>
      <c r="I474">
        <v>2</v>
      </c>
      <c r="J474" t="s">
        <v>49</v>
      </c>
      <c r="K474" t="s">
        <v>57</v>
      </c>
      <c r="L474" t="s">
        <v>200</v>
      </c>
      <c r="M474" t="s">
        <v>573</v>
      </c>
      <c r="N474" t="b">
        <v>0</v>
      </c>
      <c r="O474" t="b">
        <v>0</v>
      </c>
    </row>
    <row r="475" spans="1:15">
      <c r="A475">
        <v>474</v>
      </c>
      <c r="B475" s="1">
        <v>45325.093090277776</v>
      </c>
      <c r="C475" s="2">
        <v>45325.313063506946</v>
      </c>
      <c r="D475" s="2">
        <v>45325.883696932869</v>
      </c>
      <c r="E475" t="s">
        <v>10</v>
      </c>
      <c r="F475" t="s">
        <v>4</v>
      </c>
      <c r="G475" t="s">
        <v>15</v>
      </c>
      <c r="H475">
        <v>1</v>
      </c>
      <c r="I475">
        <v>10</v>
      </c>
      <c r="J475" t="s">
        <v>68</v>
      </c>
      <c r="K475" t="s">
        <v>71</v>
      </c>
      <c r="L475" t="s">
        <v>221</v>
      </c>
      <c r="M475" t="s">
        <v>574</v>
      </c>
      <c r="N475" t="b">
        <v>0</v>
      </c>
      <c r="O475" t="b">
        <v>0</v>
      </c>
    </row>
    <row r="476" spans="1:15">
      <c r="A476">
        <v>475</v>
      </c>
      <c r="B476" s="1">
        <v>45325.118946759256</v>
      </c>
      <c r="C476" s="2">
        <v>45325.403815520833</v>
      </c>
      <c r="D476" s="2">
        <v>45325.445472569445</v>
      </c>
      <c r="E476" t="s">
        <v>10</v>
      </c>
      <c r="F476" t="s">
        <v>4</v>
      </c>
      <c r="G476" t="s">
        <v>17</v>
      </c>
      <c r="H476">
        <v>8</v>
      </c>
      <c r="I476">
        <v>6</v>
      </c>
      <c r="J476" t="s">
        <v>35</v>
      </c>
      <c r="K476" t="s">
        <v>36</v>
      </c>
      <c r="L476" t="s">
        <v>78</v>
      </c>
      <c r="M476" t="s">
        <v>575</v>
      </c>
      <c r="N476" t="b">
        <v>0</v>
      </c>
      <c r="O476" t="b">
        <v>0</v>
      </c>
    </row>
    <row r="477" spans="1:15">
      <c r="A477">
        <v>476</v>
      </c>
      <c r="B477" s="1">
        <v>45325.194606481484</v>
      </c>
      <c r="C477" s="2">
        <v>45325.360382037034</v>
      </c>
      <c r="E477" t="s">
        <v>10</v>
      </c>
      <c r="F477" t="s">
        <v>3</v>
      </c>
      <c r="G477" t="s">
        <v>15</v>
      </c>
      <c r="H477">
        <v>5</v>
      </c>
      <c r="I477">
        <v>6</v>
      </c>
      <c r="J477" t="s">
        <v>39</v>
      </c>
      <c r="K477" t="s">
        <v>32</v>
      </c>
      <c r="L477" t="s">
        <v>174</v>
      </c>
      <c r="M477" t="s">
        <v>576</v>
      </c>
      <c r="N477" t="b">
        <v>0</v>
      </c>
      <c r="O477" t="b">
        <v>0</v>
      </c>
    </row>
    <row r="478" spans="1:15">
      <c r="A478">
        <v>477</v>
      </c>
      <c r="B478" s="1">
        <v>45325.243680555555</v>
      </c>
      <c r="C478" s="2">
        <v>45325.864024062503</v>
      </c>
      <c r="D478" s="2">
        <v>45327.714724421297</v>
      </c>
      <c r="E478" t="s">
        <v>11</v>
      </c>
      <c r="F478" t="s">
        <v>4</v>
      </c>
      <c r="G478" t="s">
        <v>15</v>
      </c>
      <c r="H478">
        <v>6</v>
      </c>
      <c r="I478">
        <v>10</v>
      </c>
      <c r="J478" t="s">
        <v>52</v>
      </c>
      <c r="K478" t="s">
        <v>73</v>
      </c>
      <c r="L478" t="s">
        <v>100</v>
      </c>
      <c r="M478" t="s">
        <v>577</v>
      </c>
      <c r="N478" t="b">
        <v>0</v>
      </c>
      <c r="O478" t="b">
        <v>0</v>
      </c>
    </row>
    <row r="479" spans="1:15">
      <c r="A479">
        <v>478</v>
      </c>
      <c r="B479" s="1">
        <v>45325.267511574071</v>
      </c>
      <c r="C479" s="2">
        <v>45325.347334918981</v>
      </c>
      <c r="E479" t="s">
        <v>9</v>
      </c>
      <c r="F479" t="s">
        <v>3</v>
      </c>
      <c r="G479" t="s">
        <v>17</v>
      </c>
      <c r="H479">
        <v>8</v>
      </c>
      <c r="I479">
        <v>4</v>
      </c>
      <c r="J479" t="s">
        <v>49</v>
      </c>
      <c r="K479" t="s">
        <v>36</v>
      </c>
      <c r="L479" t="s">
        <v>102</v>
      </c>
      <c r="M479" t="s">
        <v>578</v>
      </c>
      <c r="N479" t="b">
        <v>0</v>
      </c>
      <c r="O479" t="b">
        <v>0</v>
      </c>
    </row>
    <row r="480" spans="1:15">
      <c r="A480">
        <v>479</v>
      </c>
      <c r="B480" s="1">
        <v>45325.445752314816</v>
      </c>
      <c r="C480" s="2">
        <v>45325.77875986111</v>
      </c>
      <c r="D480" s="2">
        <v>45325.807084548615</v>
      </c>
      <c r="E480" t="s">
        <v>10</v>
      </c>
      <c r="F480" t="s">
        <v>4</v>
      </c>
      <c r="G480" t="s">
        <v>15</v>
      </c>
      <c r="H480">
        <v>2</v>
      </c>
      <c r="I480">
        <v>8</v>
      </c>
      <c r="J480" t="s">
        <v>49</v>
      </c>
      <c r="K480" t="s">
        <v>57</v>
      </c>
      <c r="L480" t="s">
        <v>98</v>
      </c>
      <c r="M480" t="s">
        <v>579</v>
      </c>
      <c r="N480" t="b">
        <v>0</v>
      </c>
      <c r="O480" t="b">
        <v>0</v>
      </c>
    </row>
    <row r="481" spans="1:15">
      <c r="A481">
        <v>480</v>
      </c>
      <c r="B481" s="1">
        <v>45325.561874999999</v>
      </c>
      <c r="C481" s="2">
        <v>45325.584870995372</v>
      </c>
      <c r="D481" s="2">
        <v>45325.66512539352</v>
      </c>
      <c r="E481" t="s">
        <v>9</v>
      </c>
      <c r="F481" t="s">
        <v>4</v>
      </c>
      <c r="G481" t="s">
        <v>16</v>
      </c>
      <c r="H481">
        <v>7</v>
      </c>
      <c r="I481">
        <v>1</v>
      </c>
      <c r="J481" t="s">
        <v>52</v>
      </c>
      <c r="K481" t="s">
        <v>43</v>
      </c>
      <c r="L481" t="s">
        <v>113</v>
      </c>
      <c r="M481" t="s">
        <v>580</v>
      </c>
      <c r="N481" t="b">
        <v>0</v>
      </c>
      <c r="O481" t="b">
        <v>0</v>
      </c>
    </row>
    <row r="482" spans="1:15">
      <c r="A482">
        <v>481</v>
      </c>
      <c r="B482" s="1">
        <v>45325.60564814815</v>
      </c>
      <c r="C482" s="2">
        <v>45325.716510972219</v>
      </c>
      <c r="D482" s="2">
        <v>45326.310308900465</v>
      </c>
      <c r="E482" t="s">
        <v>10</v>
      </c>
      <c r="F482" t="s">
        <v>4</v>
      </c>
      <c r="G482" t="s">
        <v>16</v>
      </c>
      <c r="H482">
        <v>3</v>
      </c>
      <c r="I482">
        <v>7</v>
      </c>
      <c r="J482" t="s">
        <v>49</v>
      </c>
      <c r="K482" t="s">
        <v>46</v>
      </c>
      <c r="L482" t="s">
        <v>66</v>
      </c>
      <c r="M482" t="s">
        <v>581</v>
      </c>
      <c r="N482" t="b">
        <v>0</v>
      </c>
      <c r="O482" t="b">
        <v>0</v>
      </c>
    </row>
    <row r="483" spans="1:15">
      <c r="A483">
        <v>482</v>
      </c>
      <c r="B483" s="1">
        <v>45325.668009259258</v>
      </c>
      <c r="C483" s="2">
        <v>45325.905132523148</v>
      </c>
      <c r="D483" s="2">
        <v>45326.470667893518</v>
      </c>
      <c r="E483" t="s">
        <v>10</v>
      </c>
      <c r="F483" t="s">
        <v>4</v>
      </c>
      <c r="G483" t="s">
        <v>15</v>
      </c>
      <c r="H483">
        <v>6</v>
      </c>
      <c r="I483">
        <v>1</v>
      </c>
      <c r="J483" t="s">
        <v>35</v>
      </c>
      <c r="K483" t="s">
        <v>73</v>
      </c>
      <c r="L483" t="s">
        <v>50</v>
      </c>
      <c r="M483" t="s">
        <v>582</v>
      </c>
      <c r="N483" t="b">
        <v>0</v>
      </c>
      <c r="O483" t="b">
        <v>0</v>
      </c>
    </row>
    <row r="484" spans="1:15">
      <c r="A484">
        <v>483</v>
      </c>
      <c r="B484" s="1">
        <v>45325.699456018519</v>
      </c>
      <c r="C484" s="2">
        <v>45325.743667256946</v>
      </c>
      <c r="D484" s="2">
        <v>45325.964007858798</v>
      </c>
      <c r="E484" t="s">
        <v>9</v>
      </c>
      <c r="F484" t="s">
        <v>4</v>
      </c>
      <c r="G484" t="s">
        <v>14</v>
      </c>
      <c r="H484">
        <v>4</v>
      </c>
      <c r="I484">
        <v>1</v>
      </c>
      <c r="J484" t="s">
        <v>68</v>
      </c>
      <c r="K484" t="s">
        <v>40</v>
      </c>
      <c r="L484" t="s">
        <v>91</v>
      </c>
      <c r="M484" t="s">
        <v>583</v>
      </c>
      <c r="N484" t="b">
        <v>0</v>
      </c>
      <c r="O484" t="b">
        <v>0</v>
      </c>
    </row>
    <row r="485" spans="1:15">
      <c r="A485">
        <v>484</v>
      </c>
      <c r="B485" s="1">
        <v>45325.723171296297</v>
      </c>
      <c r="C485" s="2">
        <v>45325.753162013891</v>
      </c>
      <c r="D485" s="2">
        <v>45325.851519745367</v>
      </c>
      <c r="E485" t="s">
        <v>9</v>
      </c>
      <c r="F485" t="s">
        <v>4</v>
      </c>
      <c r="G485" t="s">
        <v>17</v>
      </c>
      <c r="H485">
        <v>2</v>
      </c>
      <c r="I485">
        <v>4</v>
      </c>
      <c r="J485" t="s">
        <v>49</v>
      </c>
      <c r="K485" t="s">
        <v>57</v>
      </c>
      <c r="L485" t="s">
        <v>276</v>
      </c>
      <c r="M485" t="s">
        <v>584</v>
      </c>
      <c r="N485" t="b">
        <v>0</v>
      </c>
      <c r="O485" t="b">
        <v>0</v>
      </c>
    </row>
    <row r="486" spans="1:15">
      <c r="A486">
        <v>485</v>
      </c>
      <c r="B486" s="1">
        <v>45325.803333333337</v>
      </c>
      <c r="C486" s="2">
        <v>45326.086028807869</v>
      </c>
      <c r="D486" s="2">
        <v>45328.587683923608</v>
      </c>
      <c r="E486" t="s">
        <v>11</v>
      </c>
      <c r="F486" t="s">
        <v>4</v>
      </c>
      <c r="G486" t="s">
        <v>15</v>
      </c>
      <c r="H486">
        <v>8</v>
      </c>
      <c r="I486">
        <v>4</v>
      </c>
      <c r="J486" t="s">
        <v>31</v>
      </c>
      <c r="K486" t="s">
        <v>36</v>
      </c>
      <c r="L486" t="s">
        <v>53</v>
      </c>
      <c r="M486" t="s">
        <v>585</v>
      </c>
      <c r="N486" t="b">
        <v>1</v>
      </c>
      <c r="O486" t="b">
        <v>0</v>
      </c>
    </row>
    <row r="487" spans="1:15">
      <c r="A487">
        <v>486</v>
      </c>
      <c r="B487" s="1">
        <v>45325.848634259259</v>
      </c>
      <c r="C487" s="2">
        <v>45325.901114942128</v>
      </c>
      <c r="D487" s="2">
        <v>45326.1216255787</v>
      </c>
      <c r="E487" t="s">
        <v>9</v>
      </c>
      <c r="F487" t="s">
        <v>4</v>
      </c>
      <c r="G487" t="s">
        <v>17</v>
      </c>
      <c r="H487">
        <v>3</v>
      </c>
      <c r="I487">
        <v>8</v>
      </c>
      <c r="J487" t="s">
        <v>52</v>
      </c>
      <c r="K487" t="s">
        <v>46</v>
      </c>
      <c r="L487" t="s">
        <v>106</v>
      </c>
      <c r="M487" t="s">
        <v>586</v>
      </c>
      <c r="N487" t="b">
        <v>0</v>
      </c>
      <c r="O487" t="b">
        <v>0</v>
      </c>
    </row>
    <row r="488" spans="1:15">
      <c r="A488">
        <v>487</v>
      </c>
      <c r="B488" s="1">
        <v>45325.872303240743</v>
      </c>
      <c r="C488" s="2">
        <v>45326.068718668983</v>
      </c>
      <c r="D488" s="2">
        <v>45326.650345069444</v>
      </c>
      <c r="E488" t="s">
        <v>10</v>
      </c>
      <c r="F488" t="s">
        <v>4</v>
      </c>
      <c r="G488" t="s">
        <v>16</v>
      </c>
      <c r="H488">
        <v>1</v>
      </c>
      <c r="I488">
        <v>9</v>
      </c>
      <c r="J488" t="s">
        <v>39</v>
      </c>
      <c r="K488" t="s">
        <v>71</v>
      </c>
      <c r="L488" t="s">
        <v>100</v>
      </c>
      <c r="M488" t="s">
        <v>587</v>
      </c>
      <c r="N488" t="b">
        <v>0</v>
      </c>
      <c r="O488" t="b">
        <v>0</v>
      </c>
    </row>
    <row r="489" spans="1:15">
      <c r="A489">
        <v>488</v>
      </c>
      <c r="B489" s="1">
        <v>45325.946400462963</v>
      </c>
      <c r="C489" s="2">
        <v>45326.199954930555</v>
      </c>
      <c r="D489" s="2">
        <v>45326.472806608799</v>
      </c>
      <c r="E489" t="s">
        <v>10</v>
      </c>
      <c r="F489" t="s">
        <v>4</v>
      </c>
      <c r="G489" t="s">
        <v>15</v>
      </c>
      <c r="H489">
        <v>2</v>
      </c>
      <c r="I489">
        <v>10</v>
      </c>
      <c r="J489" t="s">
        <v>68</v>
      </c>
      <c r="K489" t="s">
        <v>57</v>
      </c>
      <c r="L489" t="s">
        <v>50</v>
      </c>
      <c r="M489" t="s">
        <v>588</v>
      </c>
      <c r="N489" t="b">
        <v>0</v>
      </c>
      <c r="O489" t="b">
        <v>0</v>
      </c>
    </row>
    <row r="490" spans="1:15">
      <c r="A490">
        <v>489</v>
      </c>
      <c r="B490" s="1">
        <v>45325.987685185188</v>
      </c>
      <c r="C490" s="2">
        <v>45326.262856979163</v>
      </c>
      <c r="D490" s="2">
        <v>45327.350851053241</v>
      </c>
      <c r="E490" t="s">
        <v>11</v>
      </c>
      <c r="F490" t="s">
        <v>2</v>
      </c>
      <c r="G490" t="s">
        <v>17</v>
      </c>
      <c r="H490">
        <v>8</v>
      </c>
      <c r="I490">
        <v>7</v>
      </c>
      <c r="J490" t="s">
        <v>52</v>
      </c>
      <c r="K490" t="s">
        <v>36</v>
      </c>
      <c r="L490" t="s">
        <v>50</v>
      </c>
      <c r="M490" t="s">
        <v>589</v>
      </c>
      <c r="N490" t="b">
        <v>0</v>
      </c>
      <c r="O490" t="b">
        <v>0</v>
      </c>
    </row>
    <row r="491" spans="1:15">
      <c r="A491">
        <v>490</v>
      </c>
      <c r="B491" s="1">
        <v>45326.034305555557</v>
      </c>
      <c r="C491" s="2">
        <v>45326.536267048614</v>
      </c>
      <c r="D491" s="2">
        <v>45328.581737881941</v>
      </c>
      <c r="E491" t="s">
        <v>11</v>
      </c>
      <c r="F491" t="s">
        <v>4</v>
      </c>
      <c r="G491" t="s">
        <v>17</v>
      </c>
      <c r="H491">
        <v>7</v>
      </c>
      <c r="I491">
        <v>2</v>
      </c>
      <c r="J491" t="s">
        <v>31</v>
      </c>
      <c r="K491" t="s">
        <v>43</v>
      </c>
      <c r="L491" t="s">
        <v>69</v>
      </c>
      <c r="M491" t="s">
        <v>590</v>
      </c>
      <c r="N491" t="b">
        <v>0</v>
      </c>
      <c r="O491" t="b">
        <v>0</v>
      </c>
    </row>
    <row r="492" spans="1:15">
      <c r="A492">
        <v>491</v>
      </c>
      <c r="B492" s="1">
        <v>45326.060081018521</v>
      </c>
      <c r="C492" s="2">
        <v>45326.166642905089</v>
      </c>
      <c r="D492" s="2">
        <v>45326.303964155093</v>
      </c>
      <c r="E492" t="s">
        <v>9</v>
      </c>
      <c r="F492" t="s">
        <v>2</v>
      </c>
      <c r="G492" t="s">
        <v>15</v>
      </c>
      <c r="H492">
        <v>6</v>
      </c>
      <c r="I492">
        <v>7</v>
      </c>
      <c r="J492" t="s">
        <v>39</v>
      </c>
      <c r="K492" t="s">
        <v>73</v>
      </c>
      <c r="L492" t="s">
        <v>100</v>
      </c>
      <c r="M492" t="s">
        <v>591</v>
      </c>
      <c r="N492" t="b">
        <v>0</v>
      </c>
      <c r="O492" t="b">
        <v>0</v>
      </c>
    </row>
    <row r="493" spans="1:15">
      <c r="A493">
        <v>492</v>
      </c>
      <c r="B493" s="1">
        <v>45326.063379629632</v>
      </c>
      <c r="C493" s="2">
        <v>45326.883440254627</v>
      </c>
      <c r="D493" s="2">
        <v>45326.930938252313</v>
      </c>
      <c r="E493" t="s">
        <v>11</v>
      </c>
      <c r="F493" t="s">
        <v>4</v>
      </c>
      <c r="G493" t="s">
        <v>17</v>
      </c>
      <c r="H493">
        <v>7</v>
      </c>
      <c r="I493">
        <v>5</v>
      </c>
      <c r="J493" t="s">
        <v>52</v>
      </c>
      <c r="K493" t="s">
        <v>43</v>
      </c>
      <c r="L493" t="s">
        <v>179</v>
      </c>
      <c r="M493" t="s">
        <v>592</v>
      </c>
      <c r="N493" t="b">
        <v>0</v>
      </c>
      <c r="O493" t="b">
        <v>0</v>
      </c>
    </row>
    <row r="494" spans="1:15">
      <c r="A494">
        <v>493</v>
      </c>
      <c r="B494" s="1">
        <v>45326.220509259256</v>
      </c>
      <c r="C494" s="2">
        <v>45326.453505787038</v>
      </c>
      <c r="E494" t="s">
        <v>10</v>
      </c>
      <c r="F494" t="s">
        <v>80</v>
      </c>
      <c r="G494" t="s">
        <v>16</v>
      </c>
      <c r="H494">
        <v>6</v>
      </c>
      <c r="I494">
        <v>6</v>
      </c>
      <c r="J494" t="s">
        <v>68</v>
      </c>
      <c r="K494" t="s">
        <v>73</v>
      </c>
      <c r="L494" t="s">
        <v>102</v>
      </c>
      <c r="M494" t="s">
        <v>593</v>
      </c>
      <c r="N494" t="b">
        <v>0</v>
      </c>
      <c r="O494" t="b">
        <v>0</v>
      </c>
    </row>
    <row r="495" spans="1:15">
      <c r="A495">
        <v>494</v>
      </c>
      <c r="B495" s="1">
        <v>45326.25409722222</v>
      </c>
      <c r="C495" s="2">
        <v>45326.298596921297</v>
      </c>
      <c r="D495" s="2">
        <v>45326.54609520833</v>
      </c>
      <c r="E495" t="s">
        <v>10</v>
      </c>
      <c r="F495" t="s">
        <v>4</v>
      </c>
      <c r="G495" t="s">
        <v>15</v>
      </c>
      <c r="H495">
        <v>8</v>
      </c>
      <c r="I495">
        <v>6</v>
      </c>
      <c r="J495" t="s">
        <v>31</v>
      </c>
      <c r="K495" t="s">
        <v>36</v>
      </c>
      <c r="L495" t="s">
        <v>310</v>
      </c>
      <c r="M495" t="s">
        <v>594</v>
      </c>
      <c r="N495" t="b">
        <v>0</v>
      </c>
      <c r="O495" t="b">
        <v>0</v>
      </c>
    </row>
    <row r="496" spans="1:15">
      <c r="A496">
        <v>495</v>
      </c>
      <c r="B496" s="1">
        <v>45326.263368055559</v>
      </c>
      <c r="C496" s="2">
        <v>45326.518037835645</v>
      </c>
      <c r="D496" s="2">
        <v>45328.741579571761</v>
      </c>
      <c r="E496" t="s">
        <v>11</v>
      </c>
      <c r="F496" t="s">
        <v>4</v>
      </c>
      <c r="G496" t="s">
        <v>15</v>
      </c>
      <c r="H496">
        <v>1</v>
      </c>
      <c r="I496">
        <v>9</v>
      </c>
      <c r="J496" t="s">
        <v>31</v>
      </c>
      <c r="K496" t="s">
        <v>71</v>
      </c>
      <c r="L496" t="s">
        <v>66</v>
      </c>
      <c r="M496" t="s">
        <v>595</v>
      </c>
      <c r="N496" t="b">
        <v>0</v>
      </c>
      <c r="O496" t="b">
        <v>0</v>
      </c>
    </row>
    <row r="497" spans="1:15">
      <c r="A497">
        <v>496</v>
      </c>
      <c r="B497" s="1">
        <v>45326.293530092589</v>
      </c>
      <c r="C497" s="2">
        <v>45326.825248900466</v>
      </c>
      <c r="D497" s="2">
        <v>45327.304241076388</v>
      </c>
      <c r="E497" t="s">
        <v>11</v>
      </c>
      <c r="F497" t="s">
        <v>4</v>
      </c>
      <c r="G497" t="s">
        <v>15</v>
      </c>
      <c r="H497">
        <v>1</v>
      </c>
      <c r="I497">
        <v>4</v>
      </c>
      <c r="J497" t="s">
        <v>68</v>
      </c>
      <c r="K497" t="s">
        <v>71</v>
      </c>
      <c r="L497" t="s">
        <v>110</v>
      </c>
      <c r="M497" t="s">
        <v>596</v>
      </c>
      <c r="N497" t="b">
        <v>0</v>
      </c>
      <c r="O497" t="b">
        <v>0</v>
      </c>
    </row>
    <row r="498" spans="1:15">
      <c r="A498">
        <v>497</v>
      </c>
      <c r="B498" s="1">
        <v>45326.49255787037</v>
      </c>
      <c r="C498" s="2">
        <v>45326.552570902779</v>
      </c>
      <c r="D498" s="2">
        <v>45327.044069085649</v>
      </c>
      <c r="E498" t="s">
        <v>10</v>
      </c>
      <c r="F498" t="s">
        <v>4</v>
      </c>
      <c r="G498" t="s">
        <v>14</v>
      </c>
      <c r="H498">
        <v>6</v>
      </c>
      <c r="I498">
        <v>10</v>
      </c>
      <c r="J498" t="s">
        <v>31</v>
      </c>
      <c r="K498" t="s">
        <v>73</v>
      </c>
      <c r="L498" t="s">
        <v>164</v>
      </c>
      <c r="M498" t="s">
        <v>597</v>
      </c>
      <c r="N498" t="b">
        <v>0</v>
      </c>
      <c r="O498" t="b">
        <v>0</v>
      </c>
    </row>
    <row r="499" spans="1:15">
      <c r="A499">
        <v>498</v>
      </c>
      <c r="B499" s="1">
        <v>45326.574641203704</v>
      </c>
      <c r="C499" s="2">
        <v>45326.873552164354</v>
      </c>
      <c r="D499" s="2">
        <v>45327.087737442132</v>
      </c>
      <c r="E499" t="s">
        <v>10</v>
      </c>
      <c r="F499" t="s">
        <v>4</v>
      </c>
      <c r="G499" t="s">
        <v>17</v>
      </c>
      <c r="H499">
        <v>8</v>
      </c>
      <c r="I499">
        <v>6</v>
      </c>
      <c r="J499" t="s">
        <v>31</v>
      </c>
      <c r="K499" t="s">
        <v>36</v>
      </c>
      <c r="L499" t="s">
        <v>200</v>
      </c>
      <c r="M499" t="s">
        <v>598</v>
      </c>
      <c r="N499" t="b">
        <v>0</v>
      </c>
      <c r="O499" t="b">
        <v>0</v>
      </c>
    </row>
    <row r="500" spans="1:15">
      <c r="A500">
        <v>499</v>
      </c>
      <c r="B500" s="1">
        <v>45326.660532407404</v>
      </c>
      <c r="C500" s="2">
        <v>45326.768957094908</v>
      </c>
      <c r="D500" s="2">
        <v>45326.756773460649</v>
      </c>
      <c r="E500" t="s">
        <v>9</v>
      </c>
      <c r="F500" t="s">
        <v>4</v>
      </c>
      <c r="G500" t="s">
        <v>17</v>
      </c>
      <c r="H500">
        <v>5</v>
      </c>
      <c r="I500">
        <v>7</v>
      </c>
      <c r="J500" t="s">
        <v>31</v>
      </c>
      <c r="K500" t="s">
        <v>32</v>
      </c>
      <c r="L500" t="s">
        <v>192</v>
      </c>
      <c r="M500" t="s">
        <v>599</v>
      </c>
      <c r="N500" t="b">
        <v>0</v>
      </c>
      <c r="O500" t="b">
        <v>0</v>
      </c>
    </row>
    <row r="501" spans="1:15">
      <c r="A501">
        <v>500</v>
      </c>
      <c r="B501" s="1">
        <v>45326.710798611108</v>
      </c>
      <c r="C501" s="2">
        <v>45326.769466990743</v>
      </c>
      <c r="D501" s="2">
        <v>45327.58121895833</v>
      </c>
      <c r="E501" t="s">
        <v>10</v>
      </c>
      <c r="F501" t="s">
        <v>4</v>
      </c>
      <c r="G501" t="s">
        <v>14</v>
      </c>
      <c r="H501">
        <v>8</v>
      </c>
      <c r="I501">
        <v>10</v>
      </c>
      <c r="J501" t="s">
        <v>52</v>
      </c>
      <c r="K501" t="s">
        <v>36</v>
      </c>
      <c r="L501" t="s">
        <v>179</v>
      </c>
      <c r="M501" t="s">
        <v>600</v>
      </c>
      <c r="N501" t="b">
        <v>0</v>
      </c>
      <c r="O501" t="b">
        <v>0</v>
      </c>
    </row>
    <row r="502" spans="1:15">
      <c r="A502">
        <v>501</v>
      </c>
      <c r="B502" s="1">
        <v>45326.722222222219</v>
      </c>
      <c r="C502" s="2">
        <v>45326.999866840277</v>
      </c>
      <c r="E502" t="s">
        <v>11</v>
      </c>
      <c r="F502" t="s">
        <v>3</v>
      </c>
      <c r="G502" t="s">
        <v>16</v>
      </c>
      <c r="H502">
        <v>4</v>
      </c>
      <c r="I502">
        <v>9</v>
      </c>
      <c r="J502" t="s">
        <v>49</v>
      </c>
      <c r="K502" t="s">
        <v>40</v>
      </c>
      <c r="L502" t="s">
        <v>89</v>
      </c>
      <c r="M502" t="s">
        <v>601</v>
      </c>
      <c r="N502" t="b">
        <v>0</v>
      </c>
      <c r="O502" t="b">
        <v>0</v>
      </c>
    </row>
    <row r="503" spans="1:15">
      <c r="A503">
        <v>502</v>
      </c>
      <c r="B503" s="1">
        <v>45326.920254629629</v>
      </c>
      <c r="C503" s="2">
        <v>45327.115923148151</v>
      </c>
      <c r="E503" t="s">
        <v>10</v>
      </c>
      <c r="F503" t="s">
        <v>80</v>
      </c>
      <c r="G503" t="s">
        <v>15</v>
      </c>
      <c r="H503">
        <v>6</v>
      </c>
      <c r="I503">
        <v>5</v>
      </c>
      <c r="J503" t="s">
        <v>49</v>
      </c>
      <c r="K503" t="s">
        <v>73</v>
      </c>
      <c r="L503" t="s">
        <v>87</v>
      </c>
      <c r="M503" t="s">
        <v>602</v>
      </c>
      <c r="N503" t="b">
        <v>0</v>
      </c>
      <c r="O503" t="b">
        <v>0</v>
      </c>
    </row>
    <row r="504" spans="1:15">
      <c r="A504">
        <v>503</v>
      </c>
      <c r="B504" s="1">
        <v>45327.065983796296</v>
      </c>
      <c r="C504" s="2">
        <v>45327.696648333331</v>
      </c>
      <c r="D504" s="2">
        <v>45329.378590729168</v>
      </c>
      <c r="E504" t="s">
        <v>11</v>
      </c>
      <c r="F504" t="s">
        <v>4</v>
      </c>
      <c r="G504" t="s">
        <v>14</v>
      </c>
      <c r="H504">
        <v>5</v>
      </c>
      <c r="I504">
        <v>3</v>
      </c>
      <c r="J504" t="s">
        <v>49</v>
      </c>
      <c r="K504" t="s">
        <v>32</v>
      </c>
      <c r="L504" t="s">
        <v>113</v>
      </c>
      <c r="M504" t="s">
        <v>603</v>
      </c>
      <c r="N504" t="b">
        <v>0</v>
      </c>
      <c r="O504" t="b">
        <v>0</v>
      </c>
    </row>
    <row r="505" spans="1:15">
      <c r="A505">
        <v>504</v>
      </c>
      <c r="B505" s="1">
        <v>45327.073773148149</v>
      </c>
      <c r="C505" s="2">
        <v>45327.360968564812</v>
      </c>
      <c r="D505" s="2">
        <v>45327.427468518516</v>
      </c>
      <c r="E505" t="s">
        <v>10</v>
      </c>
      <c r="F505" t="s">
        <v>4</v>
      </c>
      <c r="G505" t="s">
        <v>17</v>
      </c>
      <c r="H505">
        <v>8</v>
      </c>
      <c r="I505">
        <v>2</v>
      </c>
      <c r="J505" t="s">
        <v>39</v>
      </c>
      <c r="K505" t="s">
        <v>36</v>
      </c>
      <c r="L505" t="s">
        <v>55</v>
      </c>
      <c r="M505" t="s">
        <v>604</v>
      </c>
      <c r="N505" t="b">
        <v>0</v>
      </c>
      <c r="O505" t="b">
        <v>0</v>
      </c>
    </row>
    <row r="506" spans="1:15">
      <c r="A506">
        <v>505</v>
      </c>
      <c r="B506" s="1">
        <v>45327.090150462966</v>
      </c>
      <c r="C506" s="2">
        <v>45327.705324710645</v>
      </c>
      <c r="D506" s="2">
        <v>45328.659526192132</v>
      </c>
      <c r="E506" t="s">
        <v>11</v>
      </c>
      <c r="F506" t="s">
        <v>4</v>
      </c>
      <c r="G506" t="s">
        <v>15</v>
      </c>
      <c r="H506">
        <v>6</v>
      </c>
      <c r="I506">
        <v>4</v>
      </c>
      <c r="J506" t="s">
        <v>68</v>
      </c>
      <c r="K506" t="s">
        <v>73</v>
      </c>
      <c r="L506" t="s">
        <v>93</v>
      </c>
      <c r="M506" t="s">
        <v>605</v>
      </c>
      <c r="N506" t="b">
        <v>0</v>
      </c>
      <c r="O506" t="b">
        <v>0</v>
      </c>
    </row>
    <row r="507" spans="1:15">
      <c r="A507">
        <v>506</v>
      </c>
      <c r="B507" s="1">
        <v>45327.099733796298</v>
      </c>
      <c r="C507" s="2">
        <v>45327.45100951389</v>
      </c>
      <c r="D507" s="2">
        <v>45329.757873622686</v>
      </c>
      <c r="E507" t="s">
        <v>11</v>
      </c>
      <c r="F507" t="s">
        <v>4</v>
      </c>
      <c r="G507" t="s">
        <v>15</v>
      </c>
      <c r="H507">
        <v>4</v>
      </c>
      <c r="I507">
        <v>7</v>
      </c>
      <c r="J507" t="s">
        <v>35</v>
      </c>
      <c r="K507" t="s">
        <v>40</v>
      </c>
      <c r="L507" t="s">
        <v>253</v>
      </c>
      <c r="M507" t="s">
        <v>606</v>
      </c>
      <c r="N507" t="b">
        <v>0</v>
      </c>
      <c r="O507" t="b">
        <v>0</v>
      </c>
    </row>
    <row r="508" spans="1:15">
      <c r="A508">
        <v>507</v>
      </c>
      <c r="B508" s="1">
        <v>45327.331388888888</v>
      </c>
      <c r="C508" s="2">
        <v>45327.886987210652</v>
      </c>
      <c r="D508" s="2">
        <v>45329.021307523151</v>
      </c>
      <c r="E508" t="s">
        <v>11</v>
      </c>
      <c r="F508" t="s">
        <v>4</v>
      </c>
      <c r="G508" t="s">
        <v>17</v>
      </c>
      <c r="H508">
        <v>2</v>
      </c>
      <c r="I508">
        <v>8</v>
      </c>
      <c r="J508" t="s">
        <v>31</v>
      </c>
      <c r="K508" t="s">
        <v>57</v>
      </c>
      <c r="L508" t="s">
        <v>87</v>
      </c>
      <c r="M508" t="s">
        <v>607</v>
      </c>
      <c r="N508" t="b">
        <v>0</v>
      </c>
      <c r="O508" t="b">
        <v>0</v>
      </c>
    </row>
    <row r="509" spans="1:15">
      <c r="A509">
        <v>508</v>
      </c>
      <c r="B509" s="1">
        <v>45327.331909722219</v>
      </c>
      <c r="C509" s="2">
        <v>45327.450364479169</v>
      </c>
      <c r="E509" t="s">
        <v>9</v>
      </c>
      <c r="F509" t="s">
        <v>80</v>
      </c>
      <c r="G509" t="s">
        <v>16</v>
      </c>
      <c r="H509">
        <v>3</v>
      </c>
      <c r="I509">
        <v>1</v>
      </c>
      <c r="J509" t="s">
        <v>68</v>
      </c>
      <c r="K509" t="s">
        <v>46</v>
      </c>
      <c r="L509" t="s">
        <v>179</v>
      </c>
      <c r="M509" t="s">
        <v>608</v>
      </c>
      <c r="N509" t="b">
        <v>0</v>
      </c>
      <c r="O509" t="b">
        <v>0</v>
      </c>
    </row>
    <row r="510" spans="1:15">
      <c r="A510">
        <v>509</v>
      </c>
      <c r="B510" s="1">
        <v>45327.379733796297</v>
      </c>
      <c r="C510" s="2">
        <v>45327.672928564818</v>
      </c>
      <c r="D510" s="2">
        <v>45327.631461597222</v>
      </c>
      <c r="E510" t="s">
        <v>10</v>
      </c>
      <c r="F510" t="s">
        <v>4</v>
      </c>
      <c r="G510" t="s">
        <v>17</v>
      </c>
      <c r="H510">
        <v>1</v>
      </c>
      <c r="I510">
        <v>5</v>
      </c>
      <c r="J510" t="s">
        <v>31</v>
      </c>
      <c r="K510" t="s">
        <v>71</v>
      </c>
      <c r="L510" t="s">
        <v>91</v>
      </c>
      <c r="M510" t="s">
        <v>609</v>
      </c>
      <c r="N510" t="b">
        <v>0</v>
      </c>
      <c r="O510" t="b">
        <v>0</v>
      </c>
    </row>
    <row r="511" spans="1:15">
      <c r="A511">
        <v>510</v>
      </c>
      <c r="B511" s="1">
        <v>45327.488634259258</v>
      </c>
      <c r="C511" s="2">
        <v>45327.607188391201</v>
      </c>
      <c r="D511" s="2">
        <v>45327.636854756944</v>
      </c>
      <c r="E511" t="s">
        <v>9</v>
      </c>
      <c r="F511" t="s">
        <v>4</v>
      </c>
      <c r="G511" t="s">
        <v>17</v>
      </c>
      <c r="H511">
        <v>2</v>
      </c>
      <c r="I511">
        <v>10</v>
      </c>
      <c r="J511" t="s">
        <v>49</v>
      </c>
      <c r="K511" t="s">
        <v>57</v>
      </c>
      <c r="L511" t="s">
        <v>164</v>
      </c>
      <c r="M511" t="s">
        <v>610</v>
      </c>
      <c r="N511" t="b">
        <v>0</v>
      </c>
      <c r="O511" t="b">
        <v>0</v>
      </c>
    </row>
    <row r="512" spans="1:15">
      <c r="A512">
        <v>511</v>
      </c>
      <c r="B512" s="1">
        <v>45327.616284722222</v>
      </c>
      <c r="C512" s="2">
        <v>45327.912268113425</v>
      </c>
      <c r="D512" s="2">
        <v>45328.174910347225</v>
      </c>
      <c r="E512" t="s">
        <v>10</v>
      </c>
      <c r="F512" t="s">
        <v>4</v>
      </c>
      <c r="G512" t="s">
        <v>15</v>
      </c>
      <c r="H512">
        <v>5</v>
      </c>
      <c r="I512">
        <v>9</v>
      </c>
      <c r="J512" t="s">
        <v>49</v>
      </c>
      <c r="K512" t="s">
        <v>32</v>
      </c>
      <c r="L512" t="s">
        <v>96</v>
      </c>
      <c r="M512" t="s">
        <v>611</v>
      </c>
      <c r="N512" t="b">
        <v>0</v>
      </c>
      <c r="O512" t="b">
        <v>0</v>
      </c>
    </row>
    <row r="513" spans="1:15">
      <c r="A513">
        <v>512</v>
      </c>
      <c r="B513" s="1">
        <v>45327.733310185184</v>
      </c>
      <c r="C513" s="2">
        <v>45328.142547372685</v>
      </c>
      <c r="D513" s="2">
        <v>45329.983118923614</v>
      </c>
      <c r="E513" t="s">
        <v>11</v>
      </c>
      <c r="F513" t="s">
        <v>4</v>
      </c>
      <c r="G513" t="s">
        <v>15</v>
      </c>
      <c r="H513">
        <v>1</v>
      </c>
      <c r="I513">
        <v>10</v>
      </c>
      <c r="J513" t="s">
        <v>39</v>
      </c>
      <c r="K513" t="s">
        <v>71</v>
      </c>
      <c r="L513" t="s">
        <v>85</v>
      </c>
      <c r="M513" t="s">
        <v>612</v>
      </c>
      <c r="N513" t="b">
        <v>0</v>
      </c>
      <c r="O513" t="b">
        <v>0</v>
      </c>
    </row>
    <row r="514" spans="1:15">
      <c r="A514">
        <v>513</v>
      </c>
      <c r="B514" s="1">
        <v>45327.792708333334</v>
      </c>
      <c r="C514" s="2">
        <v>45327.946508541667</v>
      </c>
      <c r="D514" s="2">
        <v>45328.50087300926</v>
      </c>
      <c r="E514" t="s">
        <v>10</v>
      </c>
      <c r="F514" t="s">
        <v>4</v>
      </c>
      <c r="G514" t="s">
        <v>16</v>
      </c>
      <c r="H514">
        <v>4</v>
      </c>
      <c r="I514">
        <v>10</v>
      </c>
      <c r="J514" t="s">
        <v>68</v>
      </c>
      <c r="K514" t="s">
        <v>40</v>
      </c>
      <c r="L514" t="s">
        <v>213</v>
      </c>
      <c r="M514" t="s">
        <v>613</v>
      </c>
      <c r="N514" t="b">
        <v>0</v>
      </c>
      <c r="O514" t="b">
        <v>0</v>
      </c>
    </row>
    <row r="515" spans="1:15">
      <c r="A515">
        <v>514</v>
      </c>
      <c r="B515" s="1">
        <v>45328.011770833335</v>
      </c>
      <c r="C515" s="2">
        <v>45328.108716608796</v>
      </c>
      <c r="D515" s="2">
        <v>45328.188237824077</v>
      </c>
      <c r="E515" t="s">
        <v>9</v>
      </c>
      <c r="F515" t="s">
        <v>4</v>
      </c>
      <c r="G515" t="s">
        <v>14</v>
      </c>
      <c r="H515">
        <v>1</v>
      </c>
      <c r="I515">
        <v>1</v>
      </c>
      <c r="J515" t="s">
        <v>68</v>
      </c>
      <c r="K515" t="s">
        <v>71</v>
      </c>
      <c r="L515" t="s">
        <v>302</v>
      </c>
      <c r="M515" t="s">
        <v>614</v>
      </c>
      <c r="N515" t="b">
        <v>0</v>
      </c>
      <c r="O515" t="b">
        <v>0</v>
      </c>
    </row>
    <row r="516" spans="1:15">
      <c r="A516">
        <v>515</v>
      </c>
      <c r="B516" s="1">
        <v>45328.022569444445</v>
      </c>
      <c r="C516" s="2">
        <v>45328.288297893516</v>
      </c>
      <c r="D516" s="2">
        <v>45328.475791412035</v>
      </c>
      <c r="E516" t="s">
        <v>10</v>
      </c>
      <c r="F516" t="s">
        <v>4</v>
      </c>
      <c r="G516" t="s">
        <v>17</v>
      </c>
      <c r="H516">
        <v>2</v>
      </c>
      <c r="I516">
        <v>7</v>
      </c>
      <c r="J516" t="s">
        <v>49</v>
      </c>
      <c r="K516" t="s">
        <v>57</v>
      </c>
      <c r="L516" t="s">
        <v>89</v>
      </c>
      <c r="M516" t="s">
        <v>615</v>
      </c>
      <c r="N516" t="b">
        <v>0</v>
      </c>
      <c r="O516" t="b">
        <v>0</v>
      </c>
    </row>
    <row r="517" spans="1:15">
      <c r="A517">
        <v>516</v>
      </c>
      <c r="B517" s="1">
        <v>45328.029895833337</v>
      </c>
      <c r="C517" s="2">
        <v>45328.194797974538</v>
      </c>
      <c r="D517" s="2">
        <v>45328.510208807871</v>
      </c>
      <c r="E517" t="s">
        <v>10</v>
      </c>
      <c r="F517" t="s">
        <v>4</v>
      </c>
      <c r="G517" t="s">
        <v>15</v>
      </c>
      <c r="H517">
        <v>6</v>
      </c>
      <c r="I517">
        <v>6</v>
      </c>
      <c r="J517" t="s">
        <v>68</v>
      </c>
      <c r="K517" t="s">
        <v>73</v>
      </c>
      <c r="L517" t="s">
        <v>41</v>
      </c>
      <c r="M517" t="s">
        <v>616</v>
      </c>
      <c r="N517" t="b">
        <v>0</v>
      </c>
      <c r="O517" t="b">
        <v>0</v>
      </c>
    </row>
    <row r="518" spans="1:15">
      <c r="A518">
        <v>517</v>
      </c>
      <c r="B518" s="1">
        <v>45328.071736111109</v>
      </c>
      <c r="C518" s="2">
        <v>45328.306212256946</v>
      </c>
      <c r="D518" s="2">
        <v>45328.951401597224</v>
      </c>
      <c r="E518" t="s">
        <v>10</v>
      </c>
      <c r="F518" t="s">
        <v>4</v>
      </c>
      <c r="G518" t="s">
        <v>15</v>
      </c>
      <c r="H518">
        <v>1</v>
      </c>
      <c r="I518">
        <v>5</v>
      </c>
      <c r="J518" t="s">
        <v>35</v>
      </c>
      <c r="K518" t="s">
        <v>71</v>
      </c>
      <c r="L518" t="s">
        <v>106</v>
      </c>
      <c r="M518" t="s">
        <v>617</v>
      </c>
      <c r="N518" t="b">
        <v>0</v>
      </c>
      <c r="O518" t="b">
        <v>0</v>
      </c>
    </row>
    <row r="519" spans="1:15">
      <c r="A519">
        <v>518</v>
      </c>
      <c r="B519" s="1">
        <v>45328.103182870371</v>
      </c>
      <c r="C519" s="2">
        <v>45328.194470694441</v>
      </c>
      <c r="D519" s="2">
        <v>45328.835146493053</v>
      </c>
      <c r="E519" t="s">
        <v>10</v>
      </c>
      <c r="F519" t="s">
        <v>4</v>
      </c>
      <c r="G519" t="s">
        <v>16</v>
      </c>
      <c r="H519">
        <v>3</v>
      </c>
      <c r="I519">
        <v>8</v>
      </c>
      <c r="J519" t="s">
        <v>35</v>
      </c>
      <c r="K519" t="s">
        <v>46</v>
      </c>
      <c r="L519" t="s">
        <v>91</v>
      </c>
      <c r="M519" t="s">
        <v>618</v>
      </c>
      <c r="N519" t="b">
        <v>0</v>
      </c>
      <c r="O519" t="b">
        <v>0</v>
      </c>
    </row>
    <row r="520" spans="1:15">
      <c r="A520">
        <v>519</v>
      </c>
      <c r="B520" s="1">
        <v>45328.104710648149</v>
      </c>
      <c r="C520" s="2">
        <v>45328.236008842592</v>
      </c>
      <c r="D520" s="2">
        <v>45330.123366354164</v>
      </c>
      <c r="E520" t="s">
        <v>11</v>
      </c>
      <c r="F520" t="s">
        <v>4</v>
      </c>
      <c r="G520" t="s">
        <v>15</v>
      </c>
      <c r="H520">
        <v>2</v>
      </c>
      <c r="I520">
        <v>10</v>
      </c>
      <c r="J520" t="s">
        <v>68</v>
      </c>
      <c r="K520" t="s">
        <v>57</v>
      </c>
      <c r="L520" t="s">
        <v>192</v>
      </c>
      <c r="M520" t="s">
        <v>619</v>
      </c>
      <c r="N520" t="b">
        <v>0</v>
      </c>
      <c r="O520" t="b">
        <v>0</v>
      </c>
    </row>
    <row r="521" spans="1:15">
      <c r="A521">
        <v>520</v>
      </c>
      <c r="B521" s="1">
        <v>45328.201956018522</v>
      </c>
      <c r="C521" s="2">
        <v>45328.277906550924</v>
      </c>
      <c r="D521" s="2">
        <v>45328.451238148147</v>
      </c>
      <c r="E521" t="s">
        <v>9</v>
      </c>
      <c r="F521" t="s">
        <v>4</v>
      </c>
      <c r="G521" t="s">
        <v>15</v>
      </c>
      <c r="H521">
        <v>1</v>
      </c>
      <c r="I521">
        <v>5</v>
      </c>
      <c r="J521" t="s">
        <v>49</v>
      </c>
      <c r="K521" t="s">
        <v>71</v>
      </c>
      <c r="L521" t="s">
        <v>100</v>
      </c>
      <c r="M521" t="s">
        <v>620</v>
      </c>
      <c r="N521" t="b">
        <v>0</v>
      </c>
      <c r="O521" t="b">
        <v>0</v>
      </c>
    </row>
    <row r="522" spans="1:15">
      <c r="A522">
        <v>521</v>
      </c>
      <c r="B522" s="1">
        <v>45328.251064814816</v>
      </c>
      <c r="C522" s="2">
        <v>45328.415249745369</v>
      </c>
      <c r="D522" s="2">
        <v>45329.097117881945</v>
      </c>
      <c r="E522" t="s">
        <v>10</v>
      </c>
      <c r="F522" t="s">
        <v>4</v>
      </c>
      <c r="G522" t="s">
        <v>14</v>
      </c>
      <c r="H522">
        <v>2</v>
      </c>
      <c r="I522">
        <v>7</v>
      </c>
      <c r="J522" t="s">
        <v>39</v>
      </c>
      <c r="K522" t="s">
        <v>57</v>
      </c>
      <c r="L522" t="s">
        <v>302</v>
      </c>
      <c r="M522" t="s">
        <v>621</v>
      </c>
      <c r="N522" t="b">
        <v>0</v>
      </c>
      <c r="O522" t="b">
        <v>0</v>
      </c>
    </row>
    <row r="523" spans="1:15">
      <c r="A523">
        <v>522</v>
      </c>
      <c r="B523" s="1">
        <v>45328.262395833335</v>
      </c>
      <c r="C523" s="2">
        <v>45328.515924074076</v>
      </c>
      <c r="D523" s="2">
        <v>45328.635028078701</v>
      </c>
      <c r="E523" t="s">
        <v>10</v>
      </c>
      <c r="F523" t="s">
        <v>4</v>
      </c>
      <c r="G523" t="s">
        <v>16</v>
      </c>
      <c r="H523">
        <v>1</v>
      </c>
      <c r="I523">
        <v>5</v>
      </c>
      <c r="J523" t="s">
        <v>68</v>
      </c>
      <c r="K523" t="s">
        <v>71</v>
      </c>
      <c r="L523" t="s">
        <v>69</v>
      </c>
      <c r="M523" t="s">
        <v>622</v>
      </c>
      <c r="N523" t="b">
        <v>0</v>
      </c>
      <c r="O523" t="b">
        <v>0</v>
      </c>
    </row>
    <row r="524" spans="1:15">
      <c r="A524">
        <v>523</v>
      </c>
      <c r="B524" s="1">
        <v>45328.269120370373</v>
      </c>
      <c r="C524" s="2">
        <v>45328.367743483795</v>
      </c>
      <c r="D524" s="2">
        <v>45328.354475775464</v>
      </c>
      <c r="E524" t="s">
        <v>9</v>
      </c>
      <c r="F524" t="s">
        <v>4</v>
      </c>
      <c r="G524" t="s">
        <v>15</v>
      </c>
      <c r="H524">
        <v>1</v>
      </c>
      <c r="I524">
        <v>7</v>
      </c>
      <c r="J524" t="s">
        <v>35</v>
      </c>
      <c r="K524" t="s">
        <v>71</v>
      </c>
      <c r="L524" t="s">
        <v>284</v>
      </c>
      <c r="M524" t="s">
        <v>623</v>
      </c>
      <c r="N524" t="b">
        <v>0</v>
      </c>
      <c r="O524" t="b">
        <v>0</v>
      </c>
    </row>
    <row r="525" spans="1:15">
      <c r="A525">
        <v>524</v>
      </c>
      <c r="B525" s="1">
        <v>45328.269409722219</v>
      </c>
      <c r="C525" s="2">
        <v>45328.319916446759</v>
      </c>
      <c r="D525" s="2">
        <v>45329.125113113427</v>
      </c>
      <c r="E525" t="s">
        <v>10</v>
      </c>
      <c r="F525" t="s">
        <v>4</v>
      </c>
      <c r="G525" t="s">
        <v>14</v>
      </c>
      <c r="H525">
        <v>6</v>
      </c>
      <c r="I525">
        <v>10</v>
      </c>
      <c r="J525" t="s">
        <v>31</v>
      </c>
      <c r="K525" t="s">
        <v>73</v>
      </c>
      <c r="L525" t="s">
        <v>174</v>
      </c>
      <c r="M525" t="s">
        <v>624</v>
      </c>
      <c r="N525" t="b">
        <v>0</v>
      </c>
      <c r="O525" t="b">
        <v>0</v>
      </c>
    </row>
    <row r="526" spans="1:15">
      <c r="A526">
        <v>525</v>
      </c>
      <c r="B526" s="1">
        <v>45328.331111111111</v>
      </c>
      <c r="C526" s="2">
        <v>45328.439187962962</v>
      </c>
      <c r="D526" s="2">
        <v>45331.197085266205</v>
      </c>
      <c r="E526" t="s">
        <v>11</v>
      </c>
      <c r="F526" t="s">
        <v>4</v>
      </c>
      <c r="G526" t="s">
        <v>15</v>
      </c>
      <c r="H526">
        <v>1</v>
      </c>
      <c r="I526">
        <v>9</v>
      </c>
      <c r="J526" t="s">
        <v>68</v>
      </c>
      <c r="K526" t="s">
        <v>71</v>
      </c>
      <c r="L526" t="s">
        <v>131</v>
      </c>
      <c r="M526" t="s">
        <v>625</v>
      </c>
      <c r="N526" t="b">
        <v>1</v>
      </c>
      <c r="O526" t="b">
        <v>0</v>
      </c>
    </row>
    <row r="527" spans="1:15">
      <c r="A527">
        <v>526</v>
      </c>
      <c r="B527" s="1">
        <v>45328.444849537038</v>
      </c>
      <c r="C527" s="2">
        <v>45328.69110045139</v>
      </c>
      <c r="D527" s="2">
        <v>45329.396932881944</v>
      </c>
      <c r="E527" t="s">
        <v>10</v>
      </c>
      <c r="F527" t="s">
        <v>4</v>
      </c>
      <c r="G527" t="s">
        <v>17</v>
      </c>
      <c r="H527">
        <v>8</v>
      </c>
      <c r="I527">
        <v>3</v>
      </c>
      <c r="J527" t="s">
        <v>35</v>
      </c>
      <c r="K527" t="s">
        <v>36</v>
      </c>
      <c r="L527" t="s">
        <v>58</v>
      </c>
      <c r="M527" t="s">
        <v>626</v>
      </c>
      <c r="N527" t="b">
        <v>1</v>
      </c>
      <c r="O527" t="b">
        <v>0</v>
      </c>
    </row>
    <row r="528" spans="1:15">
      <c r="A528">
        <v>527</v>
      </c>
      <c r="B528" s="1">
        <v>45328.462592592594</v>
      </c>
      <c r="C528" s="2">
        <v>45328.769119166667</v>
      </c>
      <c r="D528" s="2">
        <v>45330.237681053244</v>
      </c>
      <c r="E528" t="s">
        <v>11</v>
      </c>
      <c r="F528" t="s">
        <v>4</v>
      </c>
      <c r="G528" t="s">
        <v>15</v>
      </c>
      <c r="H528">
        <v>4</v>
      </c>
      <c r="I528">
        <v>9</v>
      </c>
      <c r="J528" t="s">
        <v>31</v>
      </c>
      <c r="K528" t="s">
        <v>40</v>
      </c>
      <c r="L528" t="s">
        <v>98</v>
      </c>
      <c r="M528" t="s">
        <v>627</v>
      </c>
      <c r="N528" t="b">
        <v>0</v>
      </c>
      <c r="O528" t="b">
        <v>0</v>
      </c>
    </row>
    <row r="529" spans="1:15">
      <c r="A529">
        <v>528</v>
      </c>
      <c r="B529" s="1">
        <v>45328.468159722222</v>
      </c>
      <c r="C529" s="2">
        <v>45328.685416145832</v>
      </c>
      <c r="D529" s="2">
        <v>45329.055433090274</v>
      </c>
      <c r="E529" t="s">
        <v>10</v>
      </c>
      <c r="F529" t="s">
        <v>4</v>
      </c>
      <c r="G529" t="s">
        <v>14</v>
      </c>
      <c r="H529">
        <v>4</v>
      </c>
      <c r="I529">
        <v>6</v>
      </c>
      <c r="J529" t="s">
        <v>52</v>
      </c>
      <c r="K529" t="s">
        <v>40</v>
      </c>
      <c r="L529" t="s">
        <v>174</v>
      </c>
      <c r="M529" t="s">
        <v>382</v>
      </c>
      <c r="N529" t="b">
        <v>0</v>
      </c>
      <c r="O529" t="b">
        <v>0</v>
      </c>
    </row>
    <row r="530" spans="1:15">
      <c r="A530">
        <v>529</v>
      </c>
      <c r="B530" s="1">
        <v>45328.501608796294</v>
      </c>
      <c r="C530" s="2">
        <v>45328.616393576391</v>
      </c>
      <c r="E530" t="s">
        <v>10</v>
      </c>
      <c r="F530" t="s">
        <v>3</v>
      </c>
      <c r="G530" t="s">
        <v>14</v>
      </c>
      <c r="H530">
        <v>8</v>
      </c>
      <c r="I530">
        <v>6</v>
      </c>
      <c r="J530" t="s">
        <v>35</v>
      </c>
      <c r="K530" t="s">
        <v>36</v>
      </c>
      <c r="L530" t="s">
        <v>104</v>
      </c>
      <c r="M530" t="s">
        <v>628</v>
      </c>
      <c r="N530" t="b">
        <v>1</v>
      </c>
      <c r="O530" t="b">
        <v>0</v>
      </c>
    </row>
    <row r="531" spans="1:15">
      <c r="A531">
        <v>530</v>
      </c>
      <c r="B531" s="1">
        <v>45328.759872685187</v>
      </c>
      <c r="C531" s="2">
        <v>45329.009701273149</v>
      </c>
      <c r="D531" s="2">
        <v>45330.408190891205</v>
      </c>
      <c r="E531" t="s">
        <v>11</v>
      </c>
      <c r="F531" t="s">
        <v>4</v>
      </c>
      <c r="G531" t="s">
        <v>16</v>
      </c>
      <c r="H531">
        <v>7</v>
      </c>
      <c r="I531">
        <v>2</v>
      </c>
      <c r="J531" t="s">
        <v>68</v>
      </c>
      <c r="K531" t="s">
        <v>43</v>
      </c>
      <c r="L531" t="s">
        <v>310</v>
      </c>
      <c r="M531" t="s">
        <v>629</v>
      </c>
      <c r="N531" t="b">
        <v>0</v>
      </c>
      <c r="O531" t="b">
        <v>0</v>
      </c>
    </row>
    <row r="532" spans="1:15">
      <c r="A532">
        <v>531</v>
      </c>
      <c r="B532" s="1">
        <v>45328.761284722219</v>
      </c>
      <c r="C532" s="2">
        <v>45329.107024050929</v>
      </c>
      <c r="D532" s="2">
        <v>45330.431801956016</v>
      </c>
      <c r="E532" t="s">
        <v>11</v>
      </c>
      <c r="F532" t="s">
        <v>4</v>
      </c>
      <c r="G532" t="s">
        <v>17</v>
      </c>
      <c r="H532">
        <v>4</v>
      </c>
      <c r="I532">
        <v>5</v>
      </c>
      <c r="J532" t="s">
        <v>68</v>
      </c>
      <c r="K532" t="s">
        <v>40</v>
      </c>
      <c r="L532" t="s">
        <v>110</v>
      </c>
      <c r="M532" t="s">
        <v>630</v>
      </c>
      <c r="N532" t="b">
        <v>0</v>
      </c>
      <c r="O532" t="b">
        <v>0</v>
      </c>
    </row>
    <row r="533" spans="1:15">
      <c r="A533">
        <v>532</v>
      </c>
      <c r="B533" s="1">
        <v>45328.918692129628</v>
      </c>
      <c r="C533" s="2">
        <v>45329.042520277777</v>
      </c>
      <c r="E533" t="s">
        <v>9</v>
      </c>
      <c r="F533" t="s">
        <v>80</v>
      </c>
      <c r="G533" t="s">
        <v>16</v>
      </c>
      <c r="H533">
        <v>8</v>
      </c>
      <c r="I533">
        <v>4</v>
      </c>
      <c r="J533" t="s">
        <v>39</v>
      </c>
      <c r="K533" t="s">
        <v>36</v>
      </c>
      <c r="L533" t="s">
        <v>171</v>
      </c>
      <c r="M533" t="s">
        <v>631</v>
      </c>
      <c r="N533" t="b">
        <v>0</v>
      </c>
      <c r="O533" t="b">
        <v>0</v>
      </c>
    </row>
    <row r="534" spans="1:15">
      <c r="A534">
        <v>533</v>
      </c>
      <c r="B534" s="1">
        <v>45328.918796296297</v>
      </c>
      <c r="C534" s="2">
        <v>45329.029615173611</v>
      </c>
      <c r="D534" s="2">
        <v>45329.726297210647</v>
      </c>
      <c r="E534" t="s">
        <v>11</v>
      </c>
      <c r="F534" t="s">
        <v>4</v>
      </c>
      <c r="G534" t="s">
        <v>17</v>
      </c>
      <c r="H534">
        <v>5</v>
      </c>
      <c r="I534">
        <v>1</v>
      </c>
      <c r="J534" t="s">
        <v>52</v>
      </c>
      <c r="K534" t="s">
        <v>32</v>
      </c>
      <c r="L534" t="s">
        <v>50</v>
      </c>
      <c r="M534" t="s">
        <v>632</v>
      </c>
      <c r="N534" t="b">
        <v>0</v>
      </c>
      <c r="O534" t="b">
        <v>0</v>
      </c>
    </row>
    <row r="535" spans="1:15">
      <c r="A535">
        <v>534</v>
      </c>
      <c r="B535" s="1">
        <v>45328.932106481479</v>
      </c>
      <c r="C535" s="2">
        <v>45329.324769363426</v>
      </c>
      <c r="D535" s="2">
        <v>45331.092633171298</v>
      </c>
      <c r="E535" t="s">
        <v>11</v>
      </c>
      <c r="F535" t="s">
        <v>4</v>
      </c>
      <c r="G535" t="s">
        <v>17</v>
      </c>
      <c r="H535">
        <v>6</v>
      </c>
      <c r="I535">
        <v>9</v>
      </c>
      <c r="J535" t="s">
        <v>49</v>
      </c>
      <c r="K535" t="s">
        <v>73</v>
      </c>
      <c r="L535" t="s">
        <v>47</v>
      </c>
      <c r="M535" t="s">
        <v>633</v>
      </c>
      <c r="N535" t="b">
        <v>0</v>
      </c>
      <c r="O535" t="b">
        <v>0</v>
      </c>
    </row>
    <row r="536" spans="1:15">
      <c r="A536">
        <v>535</v>
      </c>
      <c r="B536" s="1">
        <v>45328.932905092595</v>
      </c>
      <c r="C536" s="2">
        <v>45328.975976898146</v>
      </c>
      <c r="D536" s="2">
        <v>45329.202000879632</v>
      </c>
      <c r="E536" t="s">
        <v>9</v>
      </c>
      <c r="F536" t="s">
        <v>4</v>
      </c>
      <c r="G536" t="s">
        <v>15</v>
      </c>
      <c r="H536">
        <v>8</v>
      </c>
      <c r="I536">
        <v>2</v>
      </c>
      <c r="J536" t="s">
        <v>49</v>
      </c>
      <c r="K536" t="s">
        <v>36</v>
      </c>
      <c r="L536" t="s">
        <v>164</v>
      </c>
      <c r="M536" t="s">
        <v>634</v>
      </c>
      <c r="N536" t="b">
        <v>0</v>
      </c>
      <c r="O536" t="b">
        <v>0</v>
      </c>
    </row>
    <row r="537" spans="1:15">
      <c r="A537">
        <v>536</v>
      </c>
      <c r="B537" s="1">
        <v>45328.956793981481</v>
      </c>
      <c r="C537" s="2">
        <v>45329.035375011576</v>
      </c>
      <c r="D537" s="2">
        <v>45329.664849386572</v>
      </c>
      <c r="E537" t="s">
        <v>10</v>
      </c>
      <c r="F537" t="s">
        <v>4</v>
      </c>
      <c r="G537" t="s">
        <v>14</v>
      </c>
      <c r="H537">
        <v>6</v>
      </c>
      <c r="I537">
        <v>8</v>
      </c>
      <c r="J537" t="s">
        <v>31</v>
      </c>
      <c r="K537" t="s">
        <v>73</v>
      </c>
      <c r="L537" t="s">
        <v>66</v>
      </c>
      <c r="M537" t="s">
        <v>635</v>
      </c>
      <c r="N537" t="b">
        <v>0</v>
      </c>
      <c r="O537" t="b">
        <v>0</v>
      </c>
    </row>
    <row r="538" spans="1:15">
      <c r="A538">
        <v>537</v>
      </c>
      <c r="B538" s="1">
        <v>45328.960497685184</v>
      </c>
      <c r="C538" s="2">
        <v>45329.067938796295</v>
      </c>
      <c r="D538" s="2">
        <v>45329.191441319446</v>
      </c>
      <c r="E538" t="s">
        <v>9</v>
      </c>
      <c r="F538" t="s">
        <v>4</v>
      </c>
      <c r="G538" t="s">
        <v>17</v>
      </c>
      <c r="H538">
        <v>5</v>
      </c>
      <c r="I538">
        <v>8</v>
      </c>
      <c r="J538" t="s">
        <v>68</v>
      </c>
      <c r="K538" t="s">
        <v>32</v>
      </c>
      <c r="L538" t="s">
        <v>302</v>
      </c>
      <c r="M538" t="s">
        <v>636</v>
      </c>
      <c r="N538" t="b">
        <v>0</v>
      </c>
      <c r="O538" t="b">
        <v>0</v>
      </c>
    </row>
    <row r="539" spans="1:15">
      <c r="A539">
        <v>538</v>
      </c>
      <c r="B539" s="1">
        <v>45328.998136574075</v>
      </c>
      <c r="C539" s="2">
        <v>45329.141137627317</v>
      </c>
      <c r="D539" s="2">
        <v>45329.823613287037</v>
      </c>
      <c r="E539" t="s">
        <v>10</v>
      </c>
      <c r="F539" t="s">
        <v>2</v>
      </c>
      <c r="G539" t="s">
        <v>17</v>
      </c>
      <c r="H539">
        <v>5</v>
      </c>
      <c r="I539">
        <v>7</v>
      </c>
      <c r="J539" t="s">
        <v>35</v>
      </c>
      <c r="K539" t="s">
        <v>32</v>
      </c>
      <c r="L539" t="s">
        <v>100</v>
      </c>
      <c r="M539" t="s">
        <v>637</v>
      </c>
      <c r="N539" t="b">
        <v>0</v>
      </c>
      <c r="O539" t="b">
        <v>0</v>
      </c>
    </row>
    <row r="540" spans="1:15">
      <c r="A540">
        <v>539</v>
      </c>
      <c r="B540" s="1">
        <v>45329.098668981482</v>
      </c>
      <c r="C540" s="2">
        <v>45329.656872384257</v>
      </c>
      <c r="D540" s="2">
        <v>45331.838749907409</v>
      </c>
      <c r="E540" t="s">
        <v>11</v>
      </c>
      <c r="F540" t="s">
        <v>4</v>
      </c>
      <c r="G540" t="s">
        <v>17</v>
      </c>
      <c r="H540">
        <v>6</v>
      </c>
      <c r="I540">
        <v>9</v>
      </c>
      <c r="J540" t="s">
        <v>39</v>
      </c>
      <c r="K540" t="s">
        <v>73</v>
      </c>
      <c r="L540" t="s">
        <v>164</v>
      </c>
      <c r="M540" t="s">
        <v>638</v>
      </c>
      <c r="N540" t="b">
        <v>1</v>
      </c>
      <c r="O540" t="b">
        <v>0</v>
      </c>
    </row>
    <row r="541" spans="1:15">
      <c r="A541">
        <v>540</v>
      </c>
      <c r="B541" s="1">
        <v>45329.180520833332</v>
      </c>
      <c r="C541" s="2">
        <v>45329.389323229167</v>
      </c>
      <c r="D541" s="2">
        <v>45329.840946921293</v>
      </c>
      <c r="E541" t="s">
        <v>10</v>
      </c>
      <c r="F541" t="s">
        <v>4</v>
      </c>
      <c r="G541" t="s">
        <v>14</v>
      </c>
      <c r="H541">
        <v>8</v>
      </c>
      <c r="I541">
        <v>2</v>
      </c>
      <c r="J541" t="s">
        <v>68</v>
      </c>
      <c r="K541" t="s">
        <v>36</v>
      </c>
      <c r="L541" t="s">
        <v>55</v>
      </c>
      <c r="M541" t="s">
        <v>639</v>
      </c>
      <c r="N541" t="b">
        <v>0</v>
      </c>
      <c r="O541" t="b">
        <v>0</v>
      </c>
    </row>
    <row r="542" spans="1:15">
      <c r="A542">
        <v>541</v>
      </c>
      <c r="B542" s="1">
        <v>45329.264097222222</v>
      </c>
      <c r="C542" s="2">
        <v>45329.498763009258</v>
      </c>
      <c r="D542" s="2">
        <v>45329.862757858798</v>
      </c>
      <c r="E542" t="s">
        <v>10</v>
      </c>
      <c r="F542" t="s">
        <v>4</v>
      </c>
      <c r="G542" t="s">
        <v>17</v>
      </c>
      <c r="H542">
        <v>6</v>
      </c>
      <c r="I542">
        <v>1</v>
      </c>
      <c r="J542" t="s">
        <v>35</v>
      </c>
      <c r="K542" t="s">
        <v>73</v>
      </c>
      <c r="L542" t="s">
        <v>284</v>
      </c>
      <c r="M542" t="s">
        <v>640</v>
      </c>
      <c r="N542" t="b">
        <v>0</v>
      </c>
      <c r="O542" t="b">
        <v>0</v>
      </c>
    </row>
    <row r="543" spans="1:15">
      <c r="A543">
        <v>542</v>
      </c>
      <c r="B543" s="1">
        <v>45329.349687499998</v>
      </c>
      <c r="C543" s="2">
        <v>45329.474641134257</v>
      </c>
      <c r="D543" s="2">
        <v>45329.901515069447</v>
      </c>
      <c r="E543" t="s">
        <v>10</v>
      </c>
      <c r="F543" t="s">
        <v>4</v>
      </c>
      <c r="G543" t="s">
        <v>17</v>
      </c>
      <c r="H543">
        <v>3</v>
      </c>
      <c r="I543">
        <v>9</v>
      </c>
      <c r="J543" t="s">
        <v>35</v>
      </c>
      <c r="K543" t="s">
        <v>46</v>
      </c>
      <c r="L543" t="s">
        <v>55</v>
      </c>
      <c r="M543" t="s">
        <v>641</v>
      </c>
      <c r="N543" t="b">
        <v>0</v>
      </c>
      <c r="O543" t="b">
        <v>0</v>
      </c>
    </row>
    <row r="544" spans="1:15">
      <c r="A544">
        <v>543</v>
      </c>
      <c r="B544" s="1">
        <v>45329.35050925926</v>
      </c>
      <c r="C544" s="2">
        <v>45329.602668460648</v>
      </c>
      <c r="D544" s="2">
        <v>45330.208877384262</v>
      </c>
      <c r="E544" t="s">
        <v>10</v>
      </c>
      <c r="F544" t="s">
        <v>2</v>
      </c>
      <c r="G544" t="s">
        <v>17</v>
      </c>
      <c r="H544">
        <v>1</v>
      </c>
      <c r="I544">
        <v>2</v>
      </c>
      <c r="J544" t="s">
        <v>52</v>
      </c>
      <c r="K544" t="s">
        <v>71</v>
      </c>
      <c r="L544" t="s">
        <v>53</v>
      </c>
      <c r="M544" t="s">
        <v>642</v>
      </c>
      <c r="N544" t="b">
        <v>0</v>
      </c>
      <c r="O544" t="b">
        <v>0</v>
      </c>
    </row>
    <row r="545" spans="1:15">
      <c r="A545">
        <v>544</v>
      </c>
      <c r="B545" s="1">
        <v>45329.368611111109</v>
      </c>
      <c r="C545" s="2">
        <v>45329.513078969911</v>
      </c>
      <c r="D545" s="2">
        <v>45332.013033796298</v>
      </c>
      <c r="E545" t="s">
        <v>11</v>
      </c>
      <c r="F545" t="s">
        <v>2</v>
      </c>
      <c r="G545" t="s">
        <v>17</v>
      </c>
      <c r="H545">
        <v>7</v>
      </c>
      <c r="I545">
        <v>3</v>
      </c>
      <c r="J545" t="s">
        <v>39</v>
      </c>
      <c r="K545" t="s">
        <v>43</v>
      </c>
      <c r="L545" t="s">
        <v>284</v>
      </c>
      <c r="M545" t="s">
        <v>643</v>
      </c>
      <c r="N545" t="b">
        <v>0</v>
      </c>
      <c r="O545" t="b">
        <v>0</v>
      </c>
    </row>
    <row r="546" spans="1:15">
      <c r="A546">
        <v>545</v>
      </c>
      <c r="B546" s="1">
        <v>45329.517604166664</v>
      </c>
      <c r="C546" s="2">
        <v>45329.77209835648</v>
      </c>
      <c r="D546" s="2">
        <v>45330.249134594909</v>
      </c>
      <c r="E546" t="s">
        <v>10</v>
      </c>
      <c r="F546" t="s">
        <v>2</v>
      </c>
      <c r="G546" t="s">
        <v>17</v>
      </c>
      <c r="H546">
        <v>4</v>
      </c>
      <c r="I546">
        <v>7</v>
      </c>
      <c r="J546" t="s">
        <v>39</v>
      </c>
      <c r="K546" t="s">
        <v>40</v>
      </c>
      <c r="L546" t="s">
        <v>192</v>
      </c>
      <c r="M546" t="s">
        <v>644</v>
      </c>
      <c r="N546" t="b">
        <v>0</v>
      </c>
      <c r="O546" t="b">
        <v>0</v>
      </c>
    </row>
    <row r="547" spans="1:15">
      <c r="A547">
        <v>546</v>
      </c>
      <c r="B547" s="1">
        <v>45329.53533564815</v>
      </c>
      <c r="C547" s="2">
        <v>45329.607826041669</v>
      </c>
      <c r="D547" s="2">
        <v>45330.480624942131</v>
      </c>
      <c r="E547" t="s">
        <v>10</v>
      </c>
      <c r="F547" t="s">
        <v>4</v>
      </c>
      <c r="G547" t="s">
        <v>14</v>
      </c>
      <c r="H547">
        <v>4</v>
      </c>
      <c r="I547">
        <v>6</v>
      </c>
      <c r="J547" t="s">
        <v>68</v>
      </c>
      <c r="K547" t="s">
        <v>40</v>
      </c>
      <c r="L547" t="s">
        <v>87</v>
      </c>
      <c r="M547" t="s">
        <v>645</v>
      </c>
      <c r="N547" t="b">
        <v>1</v>
      </c>
      <c r="O547" t="b">
        <v>0</v>
      </c>
    </row>
    <row r="548" spans="1:15">
      <c r="A548">
        <v>547</v>
      </c>
      <c r="B548" s="1">
        <v>45329.591215277775</v>
      </c>
      <c r="C548" s="2">
        <v>45329.834335856482</v>
      </c>
      <c r="E548" t="s">
        <v>10</v>
      </c>
      <c r="F548" t="s">
        <v>80</v>
      </c>
      <c r="G548" t="s">
        <v>14</v>
      </c>
      <c r="H548">
        <v>8</v>
      </c>
      <c r="I548">
        <v>3</v>
      </c>
      <c r="J548" t="s">
        <v>52</v>
      </c>
      <c r="K548" t="s">
        <v>36</v>
      </c>
      <c r="L548" t="s">
        <v>136</v>
      </c>
      <c r="M548" t="s">
        <v>646</v>
      </c>
      <c r="N548" t="b">
        <v>1</v>
      </c>
      <c r="O548" t="b">
        <v>0</v>
      </c>
    </row>
    <row r="549" spans="1:15">
      <c r="A549">
        <v>548</v>
      </c>
      <c r="B549" s="1">
        <v>45329.880671296298</v>
      </c>
      <c r="C549" s="2">
        <v>45330.528593935182</v>
      </c>
      <c r="D549" s="2">
        <v>45331.202244895831</v>
      </c>
      <c r="E549" t="s">
        <v>11</v>
      </c>
      <c r="F549" t="s">
        <v>4</v>
      </c>
      <c r="G549" t="s">
        <v>17</v>
      </c>
      <c r="H549">
        <v>2</v>
      </c>
      <c r="I549">
        <v>3</v>
      </c>
      <c r="J549" t="s">
        <v>31</v>
      </c>
      <c r="K549" t="s">
        <v>57</v>
      </c>
      <c r="L549" t="s">
        <v>33</v>
      </c>
      <c r="M549" t="s">
        <v>647</v>
      </c>
      <c r="N549" t="b">
        <v>0</v>
      </c>
      <c r="O549" t="b">
        <v>0</v>
      </c>
    </row>
    <row r="550" spans="1:15">
      <c r="A550">
        <v>549</v>
      </c>
      <c r="B550" s="1">
        <v>45329.962604166663</v>
      </c>
      <c r="C550" s="2">
        <v>45330.201082280095</v>
      </c>
      <c r="D550" s="2">
        <v>45331.890158564813</v>
      </c>
      <c r="E550" t="s">
        <v>11</v>
      </c>
      <c r="F550" t="s">
        <v>4</v>
      </c>
      <c r="G550" t="s">
        <v>15</v>
      </c>
      <c r="H550">
        <v>1</v>
      </c>
      <c r="I550">
        <v>9</v>
      </c>
      <c r="J550" t="s">
        <v>31</v>
      </c>
      <c r="K550" t="s">
        <v>71</v>
      </c>
      <c r="L550" t="s">
        <v>153</v>
      </c>
      <c r="M550" t="s">
        <v>648</v>
      </c>
      <c r="N550" t="b">
        <v>0</v>
      </c>
      <c r="O550" t="b">
        <v>0</v>
      </c>
    </row>
    <row r="551" spans="1:15">
      <c r="A551">
        <v>550</v>
      </c>
      <c r="B551" s="1">
        <v>45329.982881944445</v>
      </c>
      <c r="C551" s="2">
        <v>45330.185544629632</v>
      </c>
      <c r="D551" s="2">
        <v>45332.891542453704</v>
      </c>
      <c r="E551" t="s">
        <v>11</v>
      </c>
      <c r="F551" t="s">
        <v>4</v>
      </c>
      <c r="G551" t="s">
        <v>17</v>
      </c>
      <c r="H551">
        <v>6</v>
      </c>
      <c r="I551">
        <v>6</v>
      </c>
      <c r="J551" t="s">
        <v>52</v>
      </c>
      <c r="K551" t="s">
        <v>73</v>
      </c>
      <c r="L551" t="s">
        <v>110</v>
      </c>
      <c r="M551" t="s">
        <v>649</v>
      </c>
      <c r="N551" t="b">
        <v>1</v>
      </c>
      <c r="O551" t="b">
        <v>0</v>
      </c>
    </row>
    <row r="552" spans="1:15">
      <c r="A552">
        <v>551</v>
      </c>
      <c r="B552" s="1">
        <v>45330.069050925929</v>
      </c>
      <c r="C552" s="2">
        <v>45330.357277222225</v>
      </c>
      <c r="D552" s="2">
        <v>45330.617485381947</v>
      </c>
      <c r="E552" t="s">
        <v>10</v>
      </c>
      <c r="F552" t="s">
        <v>4</v>
      </c>
      <c r="G552" t="s">
        <v>14</v>
      </c>
      <c r="H552">
        <v>8</v>
      </c>
      <c r="I552">
        <v>10</v>
      </c>
      <c r="J552" t="s">
        <v>68</v>
      </c>
      <c r="K552" t="s">
        <v>36</v>
      </c>
      <c r="L552" t="s">
        <v>78</v>
      </c>
      <c r="M552" t="s">
        <v>650</v>
      </c>
      <c r="N552" t="b">
        <v>0</v>
      </c>
      <c r="O552" t="b">
        <v>0</v>
      </c>
    </row>
    <row r="553" spans="1:15">
      <c r="A553">
        <v>552</v>
      </c>
      <c r="B553" s="1">
        <v>45330.114606481482</v>
      </c>
      <c r="C553" s="2">
        <v>45330.412861018522</v>
      </c>
      <c r="D553" s="2">
        <v>45330.955163356484</v>
      </c>
      <c r="E553" t="s">
        <v>10</v>
      </c>
      <c r="F553" t="s">
        <v>4</v>
      </c>
      <c r="G553" t="s">
        <v>16</v>
      </c>
      <c r="H553">
        <v>7</v>
      </c>
      <c r="I553">
        <v>6</v>
      </c>
      <c r="J553" t="s">
        <v>52</v>
      </c>
      <c r="K553" t="s">
        <v>43</v>
      </c>
      <c r="L553" t="s">
        <v>192</v>
      </c>
      <c r="M553" t="s">
        <v>651</v>
      </c>
      <c r="N553" t="b">
        <v>0</v>
      </c>
      <c r="O553" t="b">
        <v>0</v>
      </c>
    </row>
    <row r="554" spans="1:15">
      <c r="A554">
        <v>553</v>
      </c>
      <c r="B554" s="1">
        <v>45330.12091435185</v>
      </c>
      <c r="C554" s="2">
        <v>45330.270500312501</v>
      </c>
      <c r="D554" s="2">
        <v>45330.873655254632</v>
      </c>
      <c r="E554" t="s">
        <v>10</v>
      </c>
      <c r="F554" t="s">
        <v>4</v>
      </c>
      <c r="G554" t="s">
        <v>15</v>
      </c>
      <c r="H554">
        <v>7</v>
      </c>
      <c r="I554">
        <v>7</v>
      </c>
      <c r="J554" t="s">
        <v>31</v>
      </c>
      <c r="K554" t="s">
        <v>43</v>
      </c>
      <c r="L554" t="s">
        <v>284</v>
      </c>
      <c r="M554" t="s">
        <v>652</v>
      </c>
      <c r="N554" t="b">
        <v>0</v>
      </c>
      <c r="O554" t="b">
        <v>0</v>
      </c>
    </row>
    <row r="555" spans="1:15">
      <c r="A555">
        <v>554</v>
      </c>
      <c r="B555" s="1">
        <v>45330.362650462965</v>
      </c>
      <c r="C555" s="2">
        <v>45330.49813965278</v>
      </c>
      <c r="D555" s="2">
        <v>45332.091200601855</v>
      </c>
      <c r="E555" t="s">
        <v>11</v>
      </c>
      <c r="F555" t="s">
        <v>4</v>
      </c>
      <c r="G555" t="s">
        <v>16</v>
      </c>
      <c r="H555">
        <v>7</v>
      </c>
      <c r="I555">
        <v>4</v>
      </c>
      <c r="J555" t="s">
        <v>49</v>
      </c>
      <c r="K555" t="s">
        <v>43</v>
      </c>
      <c r="L555" t="s">
        <v>124</v>
      </c>
      <c r="M555" t="s">
        <v>653</v>
      </c>
      <c r="N555" t="b">
        <v>0</v>
      </c>
      <c r="O555" t="b">
        <v>0</v>
      </c>
    </row>
    <row r="556" spans="1:15">
      <c r="A556">
        <v>555</v>
      </c>
      <c r="B556" s="1">
        <v>45330.421875</v>
      </c>
      <c r="C556" s="2">
        <v>45330.717205381945</v>
      </c>
      <c r="D556" s="2">
        <v>45331.245752986113</v>
      </c>
      <c r="E556" t="s">
        <v>10</v>
      </c>
      <c r="F556" t="s">
        <v>4</v>
      </c>
      <c r="G556" t="s">
        <v>15</v>
      </c>
      <c r="H556">
        <v>6</v>
      </c>
      <c r="I556">
        <v>1</v>
      </c>
      <c r="J556" t="s">
        <v>68</v>
      </c>
      <c r="K556" t="s">
        <v>73</v>
      </c>
      <c r="L556" t="s">
        <v>69</v>
      </c>
      <c r="M556" t="s">
        <v>654</v>
      </c>
      <c r="N556" t="b">
        <v>0</v>
      </c>
      <c r="O556" t="b">
        <v>0</v>
      </c>
    </row>
    <row r="557" spans="1:15">
      <c r="A557">
        <v>556</v>
      </c>
      <c r="B557" s="1">
        <v>45330.467141203706</v>
      </c>
      <c r="C557" s="2">
        <v>45330.693899270831</v>
      </c>
      <c r="D557" s="2">
        <v>45332.970196423608</v>
      </c>
      <c r="E557" t="s">
        <v>11</v>
      </c>
      <c r="F557" t="s">
        <v>4</v>
      </c>
      <c r="G557" t="s">
        <v>16</v>
      </c>
      <c r="H557">
        <v>8</v>
      </c>
      <c r="I557">
        <v>6</v>
      </c>
      <c r="J557" t="s">
        <v>35</v>
      </c>
      <c r="K557" t="s">
        <v>36</v>
      </c>
      <c r="L557" t="s">
        <v>138</v>
      </c>
      <c r="M557" t="s">
        <v>655</v>
      </c>
      <c r="N557" t="b">
        <v>0</v>
      </c>
      <c r="O557" t="b">
        <v>0</v>
      </c>
    </row>
    <row r="558" spans="1:15">
      <c r="A558">
        <v>557</v>
      </c>
      <c r="B558" s="1">
        <v>45330.484594907408</v>
      </c>
      <c r="C558" s="2">
        <v>45330.673841018521</v>
      </c>
      <c r="D558" s="2">
        <v>45331.378982465278</v>
      </c>
      <c r="E558" t="s">
        <v>10</v>
      </c>
      <c r="F558" t="s">
        <v>4</v>
      </c>
      <c r="G558" t="s">
        <v>16</v>
      </c>
      <c r="H558">
        <v>3</v>
      </c>
      <c r="I558">
        <v>8</v>
      </c>
      <c r="J558" t="s">
        <v>68</v>
      </c>
      <c r="K558" t="s">
        <v>46</v>
      </c>
      <c r="L558" t="s">
        <v>100</v>
      </c>
      <c r="M558" t="s">
        <v>656</v>
      </c>
      <c r="N558" t="b">
        <v>0</v>
      </c>
      <c r="O558" t="b">
        <v>0</v>
      </c>
    </row>
    <row r="559" spans="1:15">
      <c r="A559">
        <v>558</v>
      </c>
      <c r="B559" s="1">
        <v>45330.504780092589</v>
      </c>
      <c r="C559" s="2">
        <v>45330.546332199076</v>
      </c>
      <c r="D559" s="2">
        <v>45330.670745891206</v>
      </c>
      <c r="E559" t="s">
        <v>9</v>
      </c>
      <c r="F559" t="s">
        <v>4</v>
      </c>
      <c r="G559" t="s">
        <v>17</v>
      </c>
      <c r="H559">
        <v>6</v>
      </c>
      <c r="I559">
        <v>5</v>
      </c>
      <c r="J559" t="s">
        <v>35</v>
      </c>
      <c r="K559" t="s">
        <v>73</v>
      </c>
      <c r="L559" t="s">
        <v>96</v>
      </c>
      <c r="M559" t="s">
        <v>657</v>
      </c>
      <c r="N559" t="b">
        <v>0</v>
      </c>
      <c r="O559" t="b">
        <v>0</v>
      </c>
    </row>
    <row r="560" spans="1:15">
      <c r="A560">
        <v>559</v>
      </c>
      <c r="B560" s="1">
        <v>45330.65048611111</v>
      </c>
      <c r="C560" s="2">
        <v>45331.332001990741</v>
      </c>
      <c r="D560" s="2">
        <v>45332.431618090275</v>
      </c>
      <c r="E560" t="s">
        <v>11</v>
      </c>
      <c r="F560" t="s">
        <v>4</v>
      </c>
      <c r="G560" t="s">
        <v>16</v>
      </c>
      <c r="H560">
        <v>1</v>
      </c>
      <c r="I560">
        <v>9</v>
      </c>
      <c r="J560" t="s">
        <v>39</v>
      </c>
      <c r="K560" t="s">
        <v>71</v>
      </c>
      <c r="L560" t="s">
        <v>33</v>
      </c>
      <c r="M560" t="s">
        <v>658</v>
      </c>
      <c r="N560" t="b">
        <v>0</v>
      </c>
      <c r="O560" t="b">
        <v>0</v>
      </c>
    </row>
    <row r="561" spans="1:15">
      <c r="A561">
        <v>560</v>
      </c>
      <c r="B561" s="1">
        <v>45330.717800925922</v>
      </c>
      <c r="C561" s="2">
        <v>45330.823924236109</v>
      </c>
      <c r="D561" s="2">
        <v>45331.030155393521</v>
      </c>
      <c r="E561" t="s">
        <v>9</v>
      </c>
      <c r="F561" t="s">
        <v>4</v>
      </c>
      <c r="G561" t="s">
        <v>17</v>
      </c>
      <c r="H561">
        <v>5</v>
      </c>
      <c r="I561">
        <v>7</v>
      </c>
      <c r="J561" t="s">
        <v>68</v>
      </c>
      <c r="K561" t="s">
        <v>32</v>
      </c>
      <c r="L561" t="s">
        <v>69</v>
      </c>
      <c r="M561" t="s">
        <v>659</v>
      </c>
      <c r="N561" t="b">
        <v>1</v>
      </c>
      <c r="O561" t="b">
        <v>0</v>
      </c>
    </row>
    <row r="562" spans="1:15">
      <c r="A562">
        <v>561</v>
      </c>
      <c r="B562" s="1">
        <v>45330.73164351852</v>
      </c>
      <c r="C562" s="2">
        <v>45331.212837615742</v>
      </c>
      <c r="D562" s="2">
        <v>45333.191069537039</v>
      </c>
      <c r="E562" t="s">
        <v>11</v>
      </c>
      <c r="F562" t="s">
        <v>4</v>
      </c>
      <c r="G562" t="s">
        <v>17</v>
      </c>
      <c r="H562">
        <v>3</v>
      </c>
      <c r="I562">
        <v>6</v>
      </c>
      <c r="J562" t="s">
        <v>49</v>
      </c>
      <c r="K562" t="s">
        <v>46</v>
      </c>
      <c r="L562" t="s">
        <v>276</v>
      </c>
      <c r="M562" t="s">
        <v>660</v>
      </c>
      <c r="N562" t="b">
        <v>0</v>
      </c>
      <c r="O562" t="b">
        <v>0</v>
      </c>
    </row>
    <row r="563" spans="1:15">
      <c r="A563">
        <v>562</v>
      </c>
      <c r="B563" s="1">
        <v>45330.760706018518</v>
      </c>
      <c r="C563" s="2">
        <v>45331.005054618057</v>
      </c>
      <c r="D563" s="2">
        <v>45331.342693680555</v>
      </c>
      <c r="E563" t="s">
        <v>10</v>
      </c>
      <c r="F563" t="s">
        <v>4</v>
      </c>
      <c r="G563" t="s">
        <v>14</v>
      </c>
      <c r="H563">
        <v>8</v>
      </c>
      <c r="I563">
        <v>6</v>
      </c>
      <c r="J563" t="s">
        <v>68</v>
      </c>
      <c r="K563" t="s">
        <v>36</v>
      </c>
      <c r="L563" t="s">
        <v>85</v>
      </c>
      <c r="M563" t="s">
        <v>661</v>
      </c>
      <c r="N563" t="b">
        <v>0</v>
      </c>
      <c r="O563" t="b">
        <v>0</v>
      </c>
    </row>
    <row r="564" spans="1:15">
      <c r="A564">
        <v>563</v>
      </c>
      <c r="B564" s="1">
        <v>45330.826388888891</v>
      </c>
      <c r="C564" s="2">
        <v>45331.413738518517</v>
      </c>
      <c r="D564" s="2">
        <v>45331.997723796296</v>
      </c>
      <c r="E564" t="s">
        <v>11</v>
      </c>
      <c r="F564" t="s">
        <v>4</v>
      </c>
      <c r="G564" t="s">
        <v>15</v>
      </c>
      <c r="H564">
        <v>4</v>
      </c>
      <c r="I564">
        <v>3</v>
      </c>
      <c r="J564" t="s">
        <v>68</v>
      </c>
      <c r="K564" t="s">
        <v>40</v>
      </c>
      <c r="L564" t="s">
        <v>85</v>
      </c>
      <c r="M564" t="s">
        <v>662</v>
      </c>
      <c r="N564" t="b">
        <v>0</v>
      </c>
      <c r="O564" t="b">
        <v>0</v>
      </c>
    </row>
    <row r="565" spans="1:15">
      <c r="A565">
        <v>564</v>
      </c>
      <c r="B565" s="1">
        <v>45330.841400462959</v>
      </c>
      <c r="C565" s="2">
        <v>45331.071848564818</v>
      </c>
      <c r="D565" s="2">
        <v>45331.249384340277</v>
      </c>
      <c r="E565" t="s">
        <v>10</v>
      </c>
      <c r="F565" t="s">
        <v>4</v>
      </c>
      <c r="G565" t="s">
        <v>15</v>
      </c>
      <c r="H565">
        <v>2</v>
      </c>
      <c r="I565">
        <v>9</v>
      </c>
      <c r="J565" t="s">
        <v>68</v>
      </c>
      <c r="K565" t="s">
        <v>57</v>
      </c>
      <c r="L565" t="s">
        <v>117</v>
      </c>
      <c r="M565" t="s">
        <v>663</v>
      </c>
      <c r="N565" t="b">
        <v>0</v>
      </c>
      <c r="O565" t="b">
        <v>0</v>
      </c>
    </row>
    <row r="566" spans="1:15">
      <c r="A566">
        <v>565</v>
      </c>
      <c r="B566" s="1">
        <v>45331.011099537034</v>
      </c>
      <c r="C566" s="2">
        <v>45331.332719502316</v>
      </c>
      <c r="D566" s="2">
        <v>45333.641487905094</v>
      </c>
      <c r="E566" t="s">
        <v>11</v>
      </c>
      <c r="F566" t="s">
        <v>2</v>
      </c>
      <c r="G566" t="s">
        <v>15</v>
      </c>
      <c r="H566">
        <v>5</v>
      </c>
      <c r="I566">
        <v>1</v>
      </c>
      <c r="J566" t="s">
        <v>31</v>
      </c>
      <c r="K566" t="s">
        <v>32</v>
      </c>
      <c r="L566" t="s">
        <v>60</v>
      </c>
      <c r="M566" t="s">
        <v>664</v>
      </c>
      <c r="N566" t="b">
        <v>0</v>
      </c>
      <c r="O566" t="b">
        <v>0</v>
      </c>
    </row>
    <row r="567" spans="1:15">
      <c r="A567">
        <v>566</v>
      </c>
      <c r="B567" s="1">
        <v>45331.041527777779</v>
      </c>
      <c r="C567" s="2">
        <v>45331.490449861114</v>
      </c>
      <c r="D567" s="2">
        <v>45333.649171377314</v>
      </c>
      <c r="E567" t="s">
        <v>11</v>
      </c>
      <c r="F567" t="s">
        <v>4</v>
      </c>
      <c r="G567" t="s">
        <v>17</v>
      </c>
      <c r="H567">
        <v>1</v>
      </c>
      <c r="I567">
        <v>1</v>
      </c>
      <c r="J567" t="s">
        <v>39</v>
      </c>
      <c r="K567" t="s">
        <v>71</v>
      </c>
      <c r="L567" t="s">
        <v>62</v>
      </c>
      <c r="M567" t="s">
        <v>665</v>
      </c>
      <c r="N567" t="b">
        <v>0</v>
      </c>
      <c r="O567" t="b">
        <v>0</v>
      </c>
    </row>
    <row r="568" spans="1:15">
      <c r="A568">
        <v>567</v>
      </c>
      <c r="B568" s="1">
        <v>45331.044861111113</v>
      </c>
      <c r="C568" s="2">
        <v>45331.30405979167</v>
      </c>
      <c r="E568" t="s">
        <v>10</v>
      </c>
      <c r="F568" t="s">
        <v>3</v>
      </c>
      <c r="G568" t="s">
        <v>14</v>
      </c>
      <c r="H568">
        <v>2</v>
      </c>
      <c r="I568">
        <v>8</v>
      </c>
      <c r="J568" t="s">
        <v>68</v>
      </c>
      <c r="K568" t="s">
        <v>57</v>
      </c>
      <c r="L568" t="s">
        <v>302</v>
      </c>
      <c r="M568" t="s">
        <v>666</v>
      </c>
      <c r="N568" t="b">
        <v>0</v>
      </c>
      <c r="O568" t="b">
        <v>0</v>
      </c>
    </row>
    <row r="569" spans="1:15">
      <c r="A569">
        <v>568</v>
      </c>
      <c r="B569" s="1">
        <v>45331.102106481485</v>
      </c>
      <c r="C569" s="2">
        <v>45331.271021111112</v>
      </c>
      <c r="D569" s="2">
        <v>45331.867893761577</v>
      </c>
      <c r="E569" t="s">
        <v>10</v>
      </c>
      <c r="F569" t="s">
        <v>4</v>
      </c>
      <c r="G569" t="s">
        <v>14</v>
      </c>
      <c r="H569">
        <v>4</v>
      </c>
      <c r="I569">
        <v>1</v>
      </c>
      <c r="J569" t="s">
        <v>39</v>
      </c>
      <c r="K569" t="s">
        <v>40</v>
      </c>
      <c r="L569" t="s">
        <v>75</v>
      </c>
      <c r="M569" t="s">
        <v>667</v>
      </c>
      <c r="N569" t="b">
        <v>0</v>
      </c>
      <c r="O569" t="b">
        <v>0</v>
      </c>
    </row>
    <row r="570" spans="1:15">
      <c r="A570">
        <v>569</v>
      </c>
      <c r="B570" s="1">
        <v>45331.227442129632</v>
      </c>
      <c r="C570" s="2">
        <v>45331.281300185183</v>
      </c>
      <c r="D570" s="2">
        <v>45331.376833622686</v>
      </c>
      <c r="E570" t="s">
        <v>8</v>
      </c>
      <c r="F570" t="s">
        <v>4</v>
      </c>
      <c r="G570" t="s">
        <v>16</v>
      </c>
      <c r="H570">
        <v>6</v>
      </c>
      <c r="I570">
        <v>6</v>
      </c>
      <c r="J570" t="s">
        <v>39</v>
      </c>
      <c r="K570" t="s">
        <v>73</v>
      </c>
      <c r="L570" t="s">
        <v>55</v>
      </c>
      <c r="M570" t="s">
        <v>668</v>
      </c>
      <c r="N570" t="b">
        <v>1</v>
      </c>
      <c r="O570" t="b">
        <v>0</v>
      </c>
    </row>
    <row r="571" spans="1:15">
      <c r="A571">
        <v>570</v>
      </c>
      <c r="B571" s="1">
        <v>45331.375810185185</v>
      </c>
      <c r="C571" s="2">
        <v>45331.445899953702</v>
      </c>
      <c r="D571" s="2">
        <v>45332.121837129627</v>
      </c>
      <c r="E571" t="s">
        <v>10</v>
      </c>
      <c r="F571" t="s">
        <v>4</v>
      </c>
      <c r="G571" t="s">
        <v>16</v>
      </c>
      <c r="H571">
        <v>5</v>
      </c>
      <c r="I571">
        <v>2</v>
      </c>
      <c r="J571" t="s">
        <v>31</v>
      </c>
      <c r="K571" t="s">
        <v>32</v>
      </c>
      <c r="L571" t="s">
        <v>58</v>
      </c>
      <c r="M571" t="s">
        <v>669</v>
      </c>
      <c r="N571" t="b">
        <v>0</v>
      </c>
      <c r="O571" t="b">
        <v>0</v>
      </c>
    </row>
    <row r="572" spans="1:15">
      <c r="A572">
        <v>571</v>
      </c>
      <c r="B572" s="1">
        <v>45331.495625000003</v>
      </c>
      <c r="C572" s="2">
        <v>45331.825278668985</v>
      </c>
      <c r="D572" s="2">
        <v>45334.162113298611</v>
      </c>
      <c r="E572" t="s">
        <v>11</v>
      </c>
      <c r="F572" t="s">
        <v>4</v>
      </c>
      <c r="G572" t="s">
        <v>14</v>
      </c>
      <c r="H572">
        <v>1</v>
      </c>
      <c r="I572">
        <v>7</v>
      </c>
      <c r="J572" t="s">
        <v>35</v>
      </c>
      <c r="K572" t="s">
        <v>71</v>
      </c>
      <c r="L572" t="s">
        <v>138</v>
      </c>
      <c r="M572" t="s">
        <v>670</v>
      </c>
      <c r="N572" t="b">
        <v>0</v>
      </c>
      <c r="O572" t="b">
        <v>0</v>
      </c>
    </row>
    <row r="573" spans="1:15">
      <c r="A573">
        <v>572</v>
      </c>
      <c r="B573" s="1">
        <v>45331.67564814815</v>
      </c>
      <c r="C573" s="2">
        <v>45331.922294189812</v>
      </c>
      <c r="D573" s="2">
        <v>45332.334648032411</v>
      </c>
      <c r="E573" t="s">
        <v>10</v>
      </c>
      <c r="F573" t="s">
        <v>4</v>
      </c>
      <c r="G573" t="s">
        <v>16</v>
      </c>
      <c r="H573">
        <v>6</v>
      </c>
      <c r="I573">
        <v>2</v>
      </c>
      <c r="J573" t="s">
        <v>68</v>
      </c>
      <c r="K573" t="s">
        <v>73</v>
      </c>
      <c r="L573" t="s">
        <v>87</v>
      </c>
      <c r="M573" t="s">
        <v>671</v>
      </c>
      <c r="N573" t="b">
        <v>0</v>
      </c>
      <c r="O573" t="b">
        <v>0</v>
      </c>
    </row>
    <row r="574" spans="1:15">
      <c r="A574">
        <v>573</v>
      </c>
      <c r="B574" s="1">
        <v>45331.700277777774</v>
      </c>
      <c r="C574" s="2">
        <v>45331.920151238424</v>
      </c>
      <c r="D574" s="2">
        <v>45332.941352615744</v>
      </c>
      <c r="E574" t="s">
        <v>11</v>
      </c>
      <c r="F574" t="s">
        <v>4</v>
      </c>
      <c r="G574" t="s">
        <v>15</v>
      </c>
      <c r="H574">
        <v>1</v>
      </c>
      <c r="I574">
        <v>3</v>
      </c>
      <c r="J574" t="s">
        <v>31</v>
      </c>
      <c r="K574" t="s">
        <v>71</v>
      </c>
      <c r="L574" t="s">
        <v>188</v>
      </c>
      <c r="M574" t="s">
        <v>672</v>
      </c>
      <c r="N574" t="b">
        <v>0</v>
      </c>
      <c r="O574" t="b">
        <v>0</v>
      </c>
    </row>
    <row r="575" spans="1:15">
      <c r="A575">
        <v>574</v>
      </c>
      <c r="B575" s="1">
        <v>45331.754548611112</v>
      </c>
      <c r="C575" s="2">
        <v>45331.835911215276</v>
      </c>
      <c r="D575" s="2">
        <v>45332.585554120371</v>
      </c>
      <c r="E575" t="s">
        <v>10</v>
      </c>
      <c r="F575" t="s">
        <v>4</v>
      </c>
      <c r="G575" t="s">
        <v>14</v>
      </c>
      <c r="H575">
        <v>7</v>
      </c>
      <c r="I575">
        <v>6</v>
      </c>
      <c r="J575" t="s">
        <v>35</v>
      </c>
      <c r="K575" t="s">
        <v>43</v>
      </c>
      <c r="L575" t="s">
        <v>33</v>
      </c>
      <c r="M575" t="s">
        <v>673</v>
      </c>
      <c r="N575" t="b">
        <v>0</v>
      </c>
      <c r="O575" t="b">
        <v>0</v>
      </c>
    </row>
    <row r="576" spans="1:15">
      <c r="A576">
        <v>575</v>
      </c>
      <c r="B576" s="1">
        <v>45331.842743055553</v>
      </c>
      <c r="C576" s="2">
        <v>45332.109981863425</v>
      </c>
      <c r="D576" s="2">
        <v>45332.261473368053</v>
      </c>
      <c r="E576" t="s">
        <v>10</v>
      </c>
      <c r="F576" t="s">
        <v>4</v>
      </c>
      <c r="G576" t="s">
        <v>15</v>
      </c>
      <c r="H576">
        <v>1</v>
      </c>
      <c r="I576">
        <v>4</v>
      </c>
      <c r="J576" t="s">
        <v>39</v>
      </c>
      <c r="K576" t="s">
        <v>71</v>
      </c>
      <c r="L576" t="s">
        <v>93</v>
      </c>
      <c r="M576" t="s">
        <v>674</v>
      </c>
      <c r="N576" t="b">
        <v>0</v>
      </c>
      <c r="O576" t="b">
        <v>0</v>
      </c>
    </row>
    <row r="577" spans="1:15">
      <c r="A577">
        <v>576</v>
      </c>
      <c r="B577" s="1">
        <v>45332.032627314817</v>
      </c>
      <c r="C577" s="2">
        <v>45332.796182141203</v>
      </c>
      <c r="D577" s="2">
        <v>45334.191554189812</v>
      </c>
      <c r="E577" t="s">
        <v>11</v>
      </c>
      <c r="F577" t="s">
        <v>4</v>
      </c>
      <c r="G577" t="s">
        <v>15</v>
      </c>
      <c r="H577">
        <v>1</v>
      </c>
      <c r="I577">
        <v>3</v>
      </c>
      <c r="J577" t="s">
        <v>68</v>
      </c>
      <c r="K577" t="s">
        <v>71</v>
      </c>
      <c r="L577" t="s">
        <v>276</v>
      </c>
      <c r="M577" t="s">
        <v>675</v>
      </c>
      <c r="N577" t="b">
        <v>0</v>
      </c>
      <c r="O577" t="b">
        <v>0</v>
      </c>
    </row>
    <row r="578" spans="1:15">
      <c r="A578">
        <v>577</v>
      </c>
      <c r="B578" s="1">
        <v>45332.086331018516</v>
      </c>
      <c r="C578" s="2">
        <v>45332.133904201386</v>
      </c>
      <c r="D578" s="2">
        <v>45332.285680243054</v>
      </c>
      <c r="E578" t="s">
        <v>9</v>
      </c>
      <c r="F578" t="s">
        <v>4</v>
      </c>
      <c r="G578" t="s">
        <v>15</v>
      </c>
      <c r="H578">
        <v>5</v>
      </c>
      <c r="I578">
        <v>1</v>
      </c>
      <c r="J578" t="s">
        <v>52</v>
      </c>
      <c r="K578" t="s">
        <v>32</v>
      </c>
      <c r="L578" t="s">
        <v>55</v>
      </c>
      <c r="M578" t="s">
        <v>676</v>
      </c>
      <c r="N578" t="b">
        <v>0</v>
      </c>
      <c r="O578" t="b">
        <v>0</v>
      </c>
    </row>
    <row r="579" spans="1:15">
      <c r="A579">
        <v>578</v>
      </c>
      <c r="B579" s="1">
        <v>45332.091134259259</v>
      </c>
      <c r="C579" s="2">
        <v>45332.336743749998</v>
      </c>
      <c r="D579" s="2">
        <v>45332.51645638889</v>
      </c>
      <c r="E579" t="s">
        <v>10</v>
      </c>
      <c r="F579" t="s">
        <v>4</v>
      </c>
      <c r="G579" t="s">
        <v>15</v>
      </c>
      <c r="H579">
        <v>7</v>
      </c>
      <c r="I579">
        <v>1</v>
      </c>
      <c r="J579" t="s">
        <v>68</v>
      </c>
      <c r="K579" t="s">
        <v>43</v>
      </c>
      <c r="L579" t="s">
        <v>284</v>
      </c>
      <c r="M579" t="s">
        <v>677</v>
      </c>
      <c r="N579" t="b">
        <v>0</v>
      </c>
      <c r="O579" t="b">
        <v>0</v>
      </c>
    </row>
    <row r="580" spans="1:15">
      <c r="A580">
        <v>579</v>
      </c>
      <c r="B580" s="1">
        <v>45332.092314814814</v>
      </c>
      <c r="C580" s="2">
        <v>45332.405249444448</v>
      </c>
      <c r="D580" s="2">
        <v>45332.506347175928</v>
      </c>
      <c r="E580" t="s">
        <v>10</v>
      </c>
      <c r="F580" t="s">
        <v>4</v>
      </c>
      <c r="G580" t="s">
        <v>16</v>
      </c>
      <c r="H580">
        <v>7</v>
      </c>
      <c r="I580">
        <v>2</v>
      </c>
      <c r="J580" t="s">
        <v>31</v>
      </c>
      <c r="K580" t="s">
        <v>43</v>
      </c>
      <c r="L580" t="s">
        <v>253</v>
      </c>
      <c r="M580" t="s">
        <v>678</v>
      </c>
      <c r="N580" t="b">
        <v>0</v>
      </c>
      <c r="O580" t="b">
        <v>0</v>
      </c>
    </row>
    <row r="581" spans="1:15">
      <c r="A581">
        <v>580</v>
      </c>
      <c r="B581" s="1">
        <v>45332.102268518516</v>
      </c>
      <c r="C581" s="2">
        <v>45332.181376539353</v>
      </c>
      <c r="D581" s="2">
        <v>45332.281966030096</v>
      </c>
      <c r="E581" t="s">
        <v>9</v>
      </c>
      <c r="F581" t="s">
        <v>4</v>
      </c>
      <c r="G581" t="s">
        <v>17</v>
      </c>
      <c r="H581">
        <v>5</v>
      </c>
      <c r="I581">
        <v>3</v>
      </c>
      <c r="J581" t="s">
        <v>68</v>
      </c>
      <c r="K581" t="s">
        <v>32</v>
      </c>
      <c r="L581" t="s">
        <v>134</v>
      </c>
      <c r="M581" t="s">
        <v>679</v>
      </c>
      <c r="N581" t="b">
        <v>0</v>
      </c>
      <c r="O581" t="b">
        <v>0</v>
      </c>
    </row>
    <row r="582" spans="1:15">
      <c r="A582">
        <v>581</v>
      </c>
      <c r="B582" s="1">
        <v>45332.112268518518</v>
      </c>
      <c r="C582" s="2">
        <v>45332.341588888892</v>
      </c>
      <c r="D582" s="2">
        <v>45332.840211273149</v>
      </c>
      <c r="E582" t="s">
        <v>10</v>
      </c>
      <c r="F582" t="s">
        <v>4</v>
      </c>
      <c r="G582" t="s">
        <v>16</v>
      </c>
      <c r="H582">
        <v>2</v>
      </c>
      <c r="I582">
        <v>2</v>
      </c>
      <c r="J582" t="s">
        <v>52</v>
      </c>
      <c r="K582" t="s">
        <v>57</v>
      </c>
      <c r="L582" t="s">
        <v>121</v>
      </c>
      <c r="M582" t="s">
        <v>680</v>
      </c>
      <c r="N582" t="b">
        <v>0</v>
      </c>
      <c r="O582" t="b">
        <v>0</v>
      </c>
    </row>
    <row r="583" spans="1:15">
      <c r="A583">
        <v>582</v>
      </c>
      <c r="B583" s="1">
        <v>45332.199629629627</v>
      </c>
      <c r="C583" s="2">
        <v>45332.748952812501</v>
      </c>
      <c r="D583" s="2">
        <v>45333.477472534723</v>
      </c>
      <c r="E583" t="s">
        <v>11</v>
      </c>
      <c r="F583" t="s">
        <v>4</v>
      </c>
      <c r="G583" t="s">
        <v>17</v>
      </c>
      <c r="H583">
        <v>8</v>
      </c>
      <c r="I583">
        <v>6</v>
      </c>
      <c r="J583" t="s">
        <v>49</v>
      </c>
      <c r="K583" t="s">
        <v>36</v>
      </c>
      <c r="L583" t="s">
        <v>253</v>
      </c>
      <c r="M583" t="s">
        <v>681</v>
      </c>
      <c r="N583" t="b">
        <v>0</v>
      </c>
      <c r="O583" t="b">
        <v>0</v>
      </c>
    </row>
    <row r="584" spans="1:15">
      <c r="A584">
        <v>583</v>
      </c>
      <c r="B584" s="1">
        <v>45332.267939814818</v>
      </c>
      <c r="C584" s="2">
        <v>45332.294891655096</v>
      </c>
      <c r="D584" s="2">
        <v>45332.567010868057</v>
      </c>
      <c r="E584" t="s">
        <v>9</v>
      </c>
      <c r="F584" t="s">
        <v>4</v>
      </c>
      <c r="G584" t="s">
        <v>14</v>
      </c>
      <c r="H584">
        <v>1</v>
      </c>
      <c r="I584">
        <v>9</v>
      </c>
      <c r="J584" t="s">
        <v>49</v>
      </c>
      <c r="K584" t="s">
        <v>71</v>
      </c>
      <c r="L584" t="s">
        <v>117</v>
      </c>
      <c r="M584" t="s">
        <v>682</v>
      </c>
      <c r="N584" t="b">
        <v>0</v>
      </c>
      <c r="O584" t="b">
        <v>0</v>
      </c>
    </row>
    <row r="585" spans="1:15">
      <c r="A585">
        <v>584</v>
      </c>
      <c r="B585" s="1">
        <v>45332.371307870373</v>
      </c>
      <c r="C585" s="2">
        <v>45332.51207621528</v>
      </c>
      <c r="D585" s="2">
        <v>45334.209060347224</v>
      </c>
      <c r="E585" t="s">
        <v>11</v>
      </c>
      <c r="F585" t="s">
        <v>4</v>
      </c>
      <c r="G585" t="s">
        <v>15</v>
      </c>
      <c r="H585">
        <v>3</v>
      </c>
      <c r="I585">
        <v>8</v>
      </c>
      <c r="J585" t="s">
        <v>35</v>
      </c>
      <c r="K585" t="s">
        <v>46</v>
      </c>
      <c r="L585" t="s">
        <v>213</v>
      </c>
      <c r="M585" t="s">
        <v>683</v>
      </c>
      <c r="N585" t="b">
        <v>0</v>
      </c>
      <c r="O585" t="b">
        <v>0</v>
      </c>
    </row>
    <row r="586" spans="1:15">
      <c r="A586">
        <v>585</v>
      </c>
      <c r="B586" s="1">
        <v>45332.377256944441</v>
      </c>
      <c r="C586" s="2">
        <v>45332.505772743054</v>
      </c>
      <c r="D586" s="2">
        <v>45333.273961944447</v>
      </c>
      <c r="E586" t="s">
        <v>10</v>
      </c>
      <c r="F586" t="s">
        <v>4</v>
      </c>
      <c r="G586" t="s">
        <v>16</v>
      </c>
      <c r="H586">
        <v>7</v>
      </c>
      <c r="I586">
        <v>4</v>
      </c>
      <c r="J586" t="s">
        <v>68</v>
      </c>
      <c r="K586" t="s">
        <v>43</v>
      </c>
      <c r="L586" t="s">
        <v>64</v>
      </c>
      <c r="M586" t="s">
        <v>684</v>
      </c>
      <c r="N586" t="b">
        <v>0</v>
      </c>
      <c r="O586" t="b">
        <v>0</v>
      </c>
    </row>
    <row r="587" spans="1:15">
      <c r="A587">
        <v>586</v>
      </c>
      <c r="B587" s="1">
        <v>45332.507604166669</v>
      </c>
      <c r="C587" s="2">
        <v>45332.593917118058</v>
      </c>
      <c r="D587" s="2">
        <v>45332.704042824073</v>
      </c>
      <c r="E587" t="s">
        <v>9</v>
      </c>
      <c r="F587" t="s">
        <v>4</v>
      </c>
      <c r="G587" t="s">
        <v>15</v>
      </c>
      <c r="H587">
        <v>5</v>
      </c>
      <c r="I587">
        <v>5</v>
      </c>
      <c r="J587" t="s">
        <v>35</v>
      </c>
      <c r="K587" t="s">
        <v>32</v>
      </c>
      <c r="L587" t="s">
        <v>192</v>
      </c>
      <c r="M587" t="s">
        <v>685</v>
      </c>
      <c r="N587" t="b">
        <v>0</v>
      </c>
      <c r="O587" t="b">
        <v>0</v>
      </c>
    </row>
    <row r="588" spans="1:15">
      <c r="A588">
        <v>587</v>
      </c>
      <c r="B588" s="1">
        <v>45332.636296296296</v>
      </c>
      <c r="C588" s="2">
        <v>45332.87645103009</v>
      </c>
      <c r="D588" s="2">
        <v>45333.060146365744</v>
      </c>
      <c r="E588" t="s">
        <v>10</v>
      </c>
      <c r="F588" t="s">
        <v>4</v>
      </c>
      <c r="G588" t="s">
        <v>14</v>
      </c>
      <c r="H588">
        <v>7</v>
      </c>
      <c r="I588">
        <v>8</v>
      </c>
      <c r="J588" t="s">
        <v>68</v>
      </c>
      <c r="K588" t="s">
        <v>43</v>
      </c>
      <c r="L588" t="s">
        <v>136</v>
      </c>
      <c r="M588" t="s">
        <v>686</v>
      </c>
      <c r="N588" t="b">
        <v>0</v>
      </c>
      <c r="O588" t="b">
        <v>0</v>
      </c>
    </row>
    <row r="589" spans="1:15">
      <c r="A589">
        <v>588</v>
      </c>
      <c r="B589" s="1">
        <v>45332.644988425927</v>
      </c>
      <c r="C589" s="2">
        <v>45332.673909375</v>
      </c>
      <c r="D589" s="2">
        <v>45332.854771319442</v>
      </c>
      <c r="E589" t="s">
        <v>9</v>
      </c>
      <c r="F589" t="s">
        <v>4</v>
      </c>
      <c r="G589" t="s">
        <v>16</v>
      </c>
      <c r="H589">
        <v>7</v>
      </c>
      <c r="I589">
        <v>10</v>
      </c>
      <c r="J589" t="s">
        <v>35</v>
      </c>
      <c r="K589" t="s">
        <v>43</v>
      </c>
      <c r="L589" t="s">
        <v>250</v>
      </c>
      <c r="M589" t="s">
        <v>687</v>
      </c>
      <c r="N589" t="b">
        <v>0</v>
      </c>
      <c r="O589" t="b">
        <v>0</v>
      </c>
    </row>
    <row r="590" spans="1:15">
      <c r="A590">
        <v>589</v>
      </c>
      <c r="B590" s="1">
        <v>45332.745289351849</v>
      </c>
      <c r="C590" s="2">
        <v>45333.026680625</v>
      </c>
      <c r="D590" s="2">
        <v>45335.044870914353</v>
      </c>
      <c r="E590" t="s">
        <v>11</v>
      </c>
      <c r="F590" t="s">
        <v>4</v>
      </c>
      <c r="G590" t="s">
        <v>14</v>
      </c>
      <c r="H590">
        <v>8</v>
      </c>
      <c r="I590">
        <v>6</v>
      </c>
      <c r="J590" t="s">
        <v>35</v>
      </c>
      <c r="K590" t="s">
        <v>36</v>
      </c>
      <c r="L590" t="s">
        <v>62</v>
      </c>
      <c r="M590" t="s">
        <v>688</v>
      </c>
      <c r="N590" t="b">
        <v>0</v>
      </c>
      <c r="O590" t="b">
        <v>0</v>
      </c>
    </row>
    <row r="591" spans="1:15">
      <c r="A591">
        <v>590</v>
      </c>
      <c r="B591" s="1">
        <v>45332.748159722221</v>
      </c>
      <c r="C591" s="2">
        <v>45333.080567511577</v>
      </c>
      <c r="D591" s="2">
        <v>45333.068855219906</v>
      </c>
      <c r="E591" t="s">
        <v>10</v>
      </c>
      <c r="F591" t="s">
        <v>4</v>
      </c>
      <c r="G591" t="s">
        <v>14</v>
      </c>
      <c r="H591">
        <v>5</v>
      </c>
      <c r="I591">
        <v>2</v>
      </c>
      <c r="J591" t="s">
        <v>35</v>
      </c>
      <c r="K591" t="s">
        <v>32</v>
      </c>
      <c r="L591" t="s">
        <v>44</v>
      </c>
      <c r="M591" t="s">
        <v>689</v>
      </c>
      <c r="N591" t="b">
        <v>0</v>
      </c>
      <c r="O591" t="b">
        <v>0</v>
      </c>
    </row>
    <row r="592" spans="1:15">
      <c r="A592">
        <v>591</v>
      </c>
      <c r="B592" s="1">
        <v>45332.837280092594</v>
      </c>
      <c r="C592" s="2">
        <v>45332.875849537035</v>
      </c>
      <c r="D592" s="2">
        <v>45332.945419027776</v>
      </c>
      <c r="E592" t="s">
        <v>8</v>
      </c>
      <c r="F592" t="s">
        <v>4</v>
      </c>
      <c r="G592" t="s">
        <v>15</v>
      </c>
      <c r="H592">
        <v>7</v>
      </c>
      <c r="I592">
        <v>9</v>
      </c>
      <c r="J592" t="s">
        <v>49</v>
      </c>
      <c r="K592" t="s">
        <v>43</v>
      </c>
      <c r="L592" t="s">
        <v>310</v>
      </c>
      <c r="M592" t="s">
        <v>690</v>
      </c>
      <c r="N592" t="b">
        <v>1</v>
      </c>
      <c r="O592" t="b">
        <v>0</v>
      </c>
    </row>
    <row r="593" spans="1:15">
      <c r="A593">
        <v>592</v>
      </c>
      <c r="B593" s="1">
        <v>45333.069039351853</v>
      </c>
      <c r="C593" s="2">
        <v>45333.279560405092</v>
      </c>
      <c r="D593" s="2">
        <v>45333.877210335646</v>
      </c>
      <c r="E593" t="s">
        <v>10</v>
      </c>
      <c r="F593" t="s">
        <v>4</v>
      </c>
      <c r="G593" t="s">
        <v>17</v>
      </c>
      <c r="H593">
        <v>2</v>
      </c>
      <c r="I593">
        <v>6</v>
      </c>
      <c r="J593" t="s">
        <v>68</v>
      </c>
      <c r="K593" t="s">
        <v>57</v>
      </c>
      <c r="L593" t="s">
        <v>138</v>
      </c>
      <c r="M593" t="s">
        <v>691</v>
      </c>
      <c r="N593" t="b">
        <v>0</v>
      </c>
      <c r="O593" t="b">
        <v>0</v>
      </c>
    </row>
    <row r="594" spans="1:15">
      <c r="A594">
        <v>593</v>
      </c>
      <c r="B594" s="1">
        <v>45333.093333333331</v>
      </c>
      <c r="C594" s="2">
        <v>45333.334159675927</v>
      </c>
      <c r="D594" s="2">
        <v>45333.36887662037</v>
      </c>
      <c r="E594" t="s">
        <v>10</v>
      </c>
      <c r="F594" t="s">
        <v>4</v>
      </c>
      <c r="G594" t="s">
        <v>15</v>
      </c>
      <c r="H594">
        <v>2</v>
      </c>
      <c r="I594">
        <v>1</v>
      </c>
      <c r="J594" t="s">
        <v>49</v>
      </c>
      <c r="K594" t="s">
        <v>57</v>
      </c>
      <c r="L594" t="s">
        <v>89</v>
      </c>
      <c r="M594" t="s">
        <v>692</v>
      </c>
      <c r="N594" t="b">
        <v>0</v>
      </c>
      <c r="O594" t="b">
        <v>0</v>
      </c>
    </row>
    <row r="595" spans="1:15">
      <c r="A595">
        <v>594</v>
      </c>
      <c r="B595" s="1">
        <v>45333.140868055554</v>
      </c>
      <c r="C595" s="2">
        <v>45333.400492430555</v>
      </c>
      <c r="D595" s="2">
        <v>45333.7617831713</v>
      </c>
      <c r="E595" t="s">
        <v>10</v>
      </c>
      <c r="F595" t="s">
        <v>4</v>
      </c>
      <c r="G595" t="s">
        <v>17</v>
      </c>
      <c r="H595">
        <v>1</v>
      </c>
      <c r="I595">
        <v>3</v>
      </c>
      <c r="J595" t="s">
        <v>31</v>
      </c>
      <c r="K595" t="s">
        <v>71</v>
      </c>
      <c r="L595" t="s">
        <v>302</v>
      </c>
      <c r="M595" t="s">
        <v>693</v>
      </c>
      <c r="N595" t="b">
        <v>0</v>
      </c>
      <c r="O595" t="b">
        <v>0</v>
      </c>
    </row>
    <row r="596" spans="1:15">
      <c r="A596">
        <v>595</v>
      </c>
      <c r="B596" s="1">
        <v>45333.214212962965</v>
      </c>
      <c r="C596" s="2">
        <v>45333.263169050922</v>
      </c>
      <c r="D596" s="2">
        <v>45333.319427905095</v>
      </c>
      <c r="E596" t="s">
        <v>9</v>
      </c>
      <c r="F596" t="s">
        <v>4</v>
      </c>
      <c r="G596" t="s">
        <v>15</v>
      </c>
      <c r="H596">
        <v>2</v>
      </c>
      <c r="I596">
        <v>6</v>
      </c>
      <c r="J596" t="s">
        <v>52</v>
      </c>
      <c r="K596" t="s">
        <v>57</v>
      </c>
      <c r="L596" t="s">
        <v>302</v>
      </c>
      <c r="M596" t="s">
        <v>694</v>
      </c>
      <c r="N596" t="b">
        <v>0</v>
      </c>
      <c r="O596" t="b">
        <v>0</v>
      </c>
    </row>
    <row r="597" spans="1:15">
      <c r="A597">
        <v>596</v>
      </c>
      <c r="B597" s="1">
        <v>45333.243564814817</v>
      </c>
      <c r="C597" s="2">
        <v>45333.313197847223</v>
      </c>
      <c r="D597" s="2">
        <v>45333.511240277781</v>
      </c>
      <c r="E597" t="s">
        <v>9</v>
      </c>
      <c r="F597" t="s">
        <v>4</v>
      </c>
      <c r="G597" t="s">
        <v>14</v>
      </c>
      <c r="H597">
        <v>1</v>
      </c>
      <c r="I597">
        <v>9</v>
      </c>
      <c r="J597" t="s">
        <v>35</v>
      </c>
      <c r="K597" t="s">
        <v>71</v>
      </c>
      <c r="L597" t="s">
        <v>64</v>
      </c>
      <c r="M597" t="s">
        <v>695</v>
      </c>
      <c r="N597" t="b">
        <v>0</v>
      </c>
      <c r="O597" t="b">
        <v>0</v>
      </c>
    </row>
    <row r="598" spans="1:15">
      <c r="A598">
        <v>597</v>
      </c>
      <c r="B598" s="1">
        <v>45333.270601851851</v>
      </c>
      <c r="C598" s="2">
        <v>45333.519022465276</v>
      </c>
      <c r="D598" s="2">
        <v>45334.069613715277</v>
      </c>
      <c r="E598" t="s">
        <v>10</v>
      </c>
      <c r="F598" t="s">
        <v>4</v>
      </c>
      <c r="G598" t="s">
        <v>16</v>
      </c>
      <c r="H598">
        <v>7</v>
      </c>
      <c r="I598">
        <v>9</v>
      </c>
      <c r="J598" t="s">
        <v>52</v>
      </c>
      <c r="K598" t="s">
        <v>43</v>
      </c>
      <c r="L598" t="s">
        <v>110</v>
      </c>
      <c r="M598" t="s">
        <v>696</v>
      </c>
      <c r="N598" t="b">
        <v>0</v>
      </c>
      <c r="O598" t="b">
        <v>0</v>
      </c>
    </row>
    <row r="599" spans="1:15">
      <c r="A599">
        <v>598</v>
      </c>
      <c r="B599" s="1">
        <v>45333.491435185184</v>
      </c>
      <c r="C599" s="2">
        <v>45334.184655127312</v>
      </c>
      <c r="D599" s="2">
        <v>45335.862052280092</v>
      </c>
      <c r="E599" t="s">
        <v>11</v>
      </c>
      <c r="F599" t="s">
        <v>2</v>
      </c>
      <c r="G599" t="s">
        <v>14</v>
      </c>
      <c r="H599">
        <v>4</v>
      </c>
      <c r="I599">
        <v>2</v>
      </c>
      <c r="J599" t="s">
        <v>49</v>
      </c>
      <c r="K599" t="s">
        <v>40</v>
      </c>
      <c r="L599" t="s">
        <v>98</v>
      </c>
      <c r="M599" t="s">
        <v>697</v>
      </c>
      <c r="N599" t="b">
        <v>0</v>
      </c>
      <c r="O599" t="b">
        <v>0</v>
      </c>
    </row>
    <row r="600" spans="1:15">
      <c r="A600">
        <v>599</v>
      </c>
      <c r="B600" s="1">
        <v>45333.545358796298</v>
      </c>
      <c r="C600" s="2">
        <v>45334.074062210646</v>
      </c>
      <c r="E600" t="s">
        <v>11</v>
      </c>
      <c r="F600" t="s">
        <v>3</v>
      </c>
      <c r="G600" t="s">
        <v>14</v>
      </c>
      <c r="H600">
        <v>4</v>
      </c>
      <c r="I600">
        <v>8</v>
      </c>
      <c r="J600" t="s">
        <v>31</v>
      </c>
      <c r="K600" t="s">
        <v>40</v>
      </c>
      <c r="L600" t="s">
        <v>66</v>
      </c>
      <c r="M600" t="s">
        <v>698</v>
      </c>
      <c r="N600" t="b">
        <v>0</v>
      </c>
      <c r="O600" t="b">
        <v>0</v>
      </c>
    </row>
    <row r="601" spans="1:15">
      <c r="A601">
        <v>600</v>
      </c>
      <c r="B601" s="1">
        <v>45333.56523148148</v>
      </c>
      <c r="C601" s="2">
        <v>45333.838249282409</v>
      </c>
      <c r="D601" s="2">
        <v>45333.947022337961</v>
      </c>
      <c r="E601" t="s">
        <v>10</v>
      </c>
      <c r="F601" t="s">
        <v>4</v>
      </c>
      <c r="G601" t="s">
        <v>17</v>
      </c>
      <c r="H601">
        <v>6</v>
      </c>
      <c r="I601">
        <v>10</v>
      </c>
      <c r="J601" t="s">
        <v>49</v>
      </c>
      <c r="K601" t="s">
        <v>73</v>
      </c>
      <c r="L601" t="s">
        <v>124</v>
      </c>
      <c r="M601" t="s">
        <v>699</v>
      </c>
      <c r="N601" t="b">
        <v>0</v>
      </c>
      <c r="O601" t="b">
        <v>0</v>
      </c>
    </row>
    <row r="602" spans="1:15">
      <c r="A602">
        <v>601</v>
      </c>
      <c r="B602" s="1">
        <v>45333.580277777779</v>
      </c>
      <c r="C602" s="2">
        <v>45333.791169641205</v>
      </c>
      <c r="E602" t="s">
        <v>10</v>
      </c>
      <c r="F602" t="s">
        <v>3</v>
      </c>
      <c r="G602" t="s">
        <v>15</v>
      </c>
      <c r="H602">
        <v>3</v>
      </c>
      <c r="I602">
        <v>8</v>
      </c>
      <c r="J602" t="s">
        <v>68</v>
      </c>
      <c r="K602" t="s">
        <v>46</v>
      </c>
      <c r="L602" t="s">
        <v>62</v>
      </c>
      <c r="M602" t="s">
        <v>700</v>
      </c>
      <c r="N602" t="b">
        <v>0</v>
      </c>
      <c r="O602" t="b">
        <v>0</v>
      </c>
    </row>
    <row r="603" spans="1:15">
      <c r="A603">
        <v>602</v>
      </c>
      <c r="B603" s="1">
        <v>45333.580451388887</v>
      </c>
      <c r="C603" s="2">
        <v>45333.702032048612</v>
      </c>
      <c r="D603" s="2">
        <v>45334.609274710645</v>
      </c>
      <c r="E603" t="s">
        <v>11</v>
      </c>
      <c r="F603" t="s">
        <v>4</v>
      </c>
      <c r="G603" t="s">
        <v>14</v>
      </c>
      <c r="H603">
        <v>5</v>
      </c>
      <c r="I603">
        <v>8</v>
      </c>
      <c r="J603" t="s">
        <v>35</v>
      </c>
      <c r="K603" t="s">
        <v>32</v>
      </c>
      <c r="L603" t="s">
        <v>93</v>
      </c>
      <c r="M603" t="s">
        <v>701</v>
      </c>
      <c r="N603" t="b">
        <v>0</v>
      </c>
      <c r="O603" t="b">
        <v>0</v>
      </c>
    </row>
    <row r="604" spans="1:15">
      <c r="A604">
        <v>603</v>
      </c>
      <c r="B604" s="1">
        <v>45333.652928240743</v>
      </c>
      <c r="C604" s="2">
        <v>45333.678979814817</v>
      </c>
      <c r="D604" s="2">
        <v>45333.709690925927</v>
      </c>
      <c r="E604" t="s">
        <v>8</v>
      </c>
      <c r="F604" t="s">
        <v>4</v>
      </c>
      <c r="G604" t="s">
        <v>15</v>
      </c>
      <c r="H604">
        <v>1</v>
      </c>
      <c r="I604">
        <v>8</v>
      </c>
      <c r="J604" t="s">
        <v>49</v>
      </c>
      <c r="K604" t="s">
        <v>71</v>
      </c>
      <c r="L604" t="s">
        <v>75</v>
      </c>
      <c r="M604" t="s">
        <v>702</v>
      </c>
      <c r="N604" t="b">
        <v>1</v>
      </c>
      <c r="O604" t="b">
        <v>0</v>
      </c>
    </row>
    <row r="605" spans="1:15">
      <c r="A605">
        <v>604</v>
      </c>
      <c r="B605" s="1">
        <v>45333.669178240743</v>
      </c>
      <c r="C605" s="2">
        <v>45333.78540886574</v>
      </c>
      <c r="D605" s="2">
        <v>45334.135551597225</v>
      </c>
      <c r="E605" t="s">
        <v>10</v>
      </c>
      <c r="F605" t="s">
        <v>4</v>
      </c>
      <c r="G605" t="s">
        <v>17</v>
      </c>
      <c r="H605">
        <v>6</v>
      </c>
      <c r="I605">
        <v>6</v>
      </c>
      <c r="J605" t="s">
        <v>39</v>
      </c>
      <c r="K605" t="s">
        <v>73</v>
      </c>
      <c r="L605" t="s">
        <v>124</v>
      </c>
      <c r="M605" t="s">
        <v>703</v>
      </c>
      <c r="N605" t="b">
        <v>0</v>
      </c>
      <c r="O605" t="b">
        <v>0</v>
      </c>
    </row>
    <row r="606" spans="1:15">
      <c r="A606">
        <v>605</v>
      </c>
      <c r="B606" s="1">
        <v>45334.07172453704</v>
      </c>
      <c r="C606" s="2">
        <v>45334.284364791667</v>
      </c>
      <c r="D606" s="2">
        <v>45334.793836712961</v>
      </c>
      <c r="E606" t="s">
        <v>10</v>
      </c>
      <c r="F606" t="s">
        <v>4</v>
      </c>
      <c r="G606" t="s">
        <v>16</v>
      </c>
      <c r="H606">
        <v>7</v>
      </c>
      <c r="I606">
        <v>7</v>
      </c>
      <c r="J606" t="s">
        <v>52</v>
      </c>
      <c r="K606" t="s">
        <v>43</v>
      </c>
      <c r="L606" t="s">
        <v>85</v>
      </c>
      <c r="M606" t="s">
        <v>704</v>
      </c>
      <c r="N606" t="b">
        <v>0</v>
      </c>
      <c r="O606" t="b">
        <v>0</v>
      </c>
    </row>
    <row r="607" spans="1:15">
      <c r="A607">
        <v>606</v>
      </c>
      <c r="B607" s="1">
        <v>45334.143229166664</v>
      </c>
      <c r="C607" s="2">
        <v>45334.209740625003</v>
      </c>
      <c r="D607" s="2">
        <v>45334.415727627318</v>
      </c>
      <c r="E607" t="s">
        <v>10</v>
      </c>
      <c r="F607" t="s">
        <v>4</v>
      </c>
      <c r="G607" t="s">
        <v>17</v>
      </c>
      <c r="H607">
        <v>1</v>
      </c>
      <c r="I607">
        <v>6</v>
      </c>
      <c r="J607" t="s">
        <v>49</v>
      </c>
      <c r="K607" t="s">
        <v>71</v>
      </c>
      <c r="L607" t="s">
        <v>41</v>
      </c>
      <c r="M607" t="s">
        <v>705</v>
      </c>
      <c r="N607" t="b">
        <v>0</v>
      </c>
      <c r="O607" t="b">
        <v>0</v>
      </c>
    </row>
    <row r="608" spans="1:15">
      <c r="A608">
        <v>607</v>
      </c>
      <c r="B608" s="1">
        <v>45334.385949074072</v>
      </c>
      <c r="C608" s="2">
        <v>45334.630820636572</v>
      </c>
      <c r="D608" s="2">
        <v>45334.715372974541</v>
      </c>
      <c r="E608" t="s">
        <v>10</v>
      </c>
      <c r="F608" t="s">
        <v>4</v>
      </c>
      <c r="G608" t="s">
        <v>15</v>
      </c>
      <c r="H608">
        <v>1</v>
      </c>
      <c r="I608">
        <v>10</v>
      </c>
      <c r="J608" t="s">
        <v>49</v>
      </c>
      <c r="K608" t="s">
        <v>71</v>
      </c>
      <c r="L608" t="s">
        <v>33</v>
      </c>
      <c r="M608" t="s">
        <v>706</v>
      </c>
      <c r="N608" t="b">
        <v>0</v>
      </c>
      <c r="O608" t="b">
        <v>0</v>
      </c>
    </row>
    <row r="609" spans="1:15">
      <c r="A609">
        <v>608</v>
      </c>
      <c r="B609" s="1">
        <v>45334.397511574076</v>
      </c>
      <c r="C609" s="2">
        <v>45334.581392581022</v>
      </c>
      <c r="D609" s="2">
        <v>45334.708793090278</v>
      </c>
      <c r="E609" t="s">
        <v>10</v>
      </c>
      <c r="F609" t="s">
        <v>4</v>
      </c>
      <c r="G609" t="s">
        <v>15</v>
      </c>
      <c r="H609">
        <v>2</v>
      </c>
      <c r="I609">
        <v>4</v>
      </c>
      <c r="J609" t="s">
        <v>35</v>
      </c>
      <c r="K609" t="s">
        <v>57</v>
      </c>
      <c r="L609" t="s">
        <v>37</v>
      </c>
      <c r="M609" t="s">
        <v>707</v>
      </c>
      <c r="N609" t="b">
        <v>0</v>
      </c>
      <c r="O609" t="b">
        <v>0</v>
      </c>
    </row>
    <row r="610" spans="1:15">
      <c r="A610">
        <v>609</v>
      </c>
      <c r="B610" s="1">
        <v>45334.460902777777</v>
      </c>
      <c r="C610" s="2">
        <v>45334.686483379628</v>
      </c>
      <c r="D610" s="2">
        <v>45335.131649745374</v>
      </c>
      <c r="E610" t="s">
        <v>10</v>
      </c>
      <c r="F610" t="s">
        <v>4</v>
      </c>
      <c r="G610" t="s">
        <v>14</v>
      </c>
      <c r="H610">
        <v>5</v>
      </c>
      <c r="I610">
        <v>8</v>
      </c>
      <c r="J610" t="s">
        <v>31</v>
      </c>
      <c r="K610" t="s">
        <v>32</v>
      </c>
      <c r="L610" t="s">
        <v>253</v>
      </c>
      <c r="M610" t="s">
        <v>708</v>
      </c>
      <c r="N610" t="b">
        <v>0</v>
      </c>
      <c r="O610" t="b">
        <v>0</v>
      </c>
    </row>
    <row r="611" spans="1:15">
      <c r="A611">
        <v>610</v>
      </c>
      <c r="B611" s="1">
        <v>45334.516134259262</v>
      </c>
      <c r="C611" s="2">
        <v>45334.62704269676</v>
      </c>
      <c r="D611" s="2">
        <v>45334.70530533565</v>
      </c>
      <c r="E611" t="s">
        <v>9</v>
      </c>
      <c r="F611" t="s">
        <v>4</v>
      </c>
      <c r="G611" t="s">
        <v>15</v>
      </c>
      <c r="H611">
        <v>7</v>
      </c>
      <c r="I611">
        <v>1</v>
      </c>
      <c r="J611" t="s">
        <v>35</v>
      </c>
      <c r="K611" t="s">
        <v>43</v>
      </c>
      <c r="L611" t="s">
        <v>66</v>
      </c>
      <c r="M611" t="s">
        <v>709</v>
      </c>
      <c r="N611" t="b">
        <v>0</v>
      </c>
      <c r="O611" t="b">
        <v>0</v>
      </c>
    </row>
    <row r="612" spans="1:15">
      <c r="A612">
        <v>611</v>
      </c>
      <c r="B612" s="1">
        <v>45334.595347222225</v>
      </c>
      <c r="C612" s="2">
        <v>45334.746192800929</v>
      </c>
      <c r="D612" s="2">
        <v>45335.02241795139</v>
      </c>
      <c r="E612" t="s">
        <v>10</v>
      </c>
      <c r="F612" t="s">
        <v>4</v>
      </c>
      <c r="G612" t="s">
        <v>17</v>
      </c>
      <c r="H612">
        <v>7</v>
      </c>
      <c r="I612">
        <v>5</v>
      </c>
      <c r="J612" t="s">
        <v>52</v>
      </c>
      <c r="K612" t="s">
        <v>43</v>
      </c>
      <c r="L612" t="s">
        <v>179</v>
      </c>
      <c r="M612" t="s">
        <v>710</v>
      </c>
      <c r="N612" t="b">
        <v>0</v>
      </c>
      <c r="O612" t="b">
        <v>0</v>
      </c>
    </row>
    <row r="613" spans="1:15">
      <c r="A613">
        <v>612</v>
      </c>
      <c r="B613" s="1">
        <v>45334.654409722221</v>
      </c>
      <c r="C613" s="2">
        <v>45334.812639502314</v>
      </c>
      <c r="D613" s="2">
        <v>45335.60293025463</v>
      </c>
      <c r="E613" t="s">
        <v>10</v>
      </c>
      <c r="F613" t="s">
        <v>4</v>
      </c>
      <c r="G613" t="s">
        <v>15</v>
      </c>
      <c r="H613">
        <v>7</v>
      </c>
      <c r="I613">
        <v>10</v>
      </c>
      <c r="J613" t="s">
        <v>52</v>
      </c>
      <c r="K613" t="s">
        <v>43</v>
      </c>
      <c r="L613" t="s">
        <v>153</v>
      </c>
      <c r="M613" t="s">
        <v>711</v>
      </c>
      <c r="N613" t="b">
        <v>1</v>
      </c>
      <c r="O613" t="b">
        <v>0</v>
      </c>
    </row>
    <row r="614" spans="1:15">
      <c r="A614">
        <v>613</v>
      </c>
      <c r="B614" s="1">
        <v>45334.683240740742</v>
      </c>
      <c r="C614" s="2">
        <v>45334.804288969906</v>
      </c>
      <c r="D614" s="2">
        <v>45335.006987384259</v>
      </c>
      <c r="E614" t="s">
        <v>9</v>
      </c>
      <c r="F614" t="s">
        <v>4</v>
      </c>
      <c r="G614" t="s">
        <v>14</v>
      </c>
      <c r="H614">
        <v>5</v>
      </c>
      <c r="I614">
        <v>3</v>
      </c>
      <c r="J614" t="s">
        <v>35</v>
      </c>
      <c r="K614" t="s">
        <v>32</v>
      </c>
      <c r="L614" t="s">
        <v>117</v>
      </c>
      <c r="M614" t="s">
        <v>712</v>
      </c>
      <c r="N614" t="b">
        <v>1</v>
      </c>
      <c r="O614" t="b">
        <v>0</v>
      </c>
    </row>
    <row r="615" spans="1:15">
      <c r="A615">
        <v>614</v>
      </c>
      <c r="B615" s="1">
        <v>45334.841527777775</v>
      </c>
      <c r="C615" s="2">
        <v>45335.146241585651</v>
      </c>
      <c r="D615" s="2">
        <v>45335.267610543982</v>
      </c>
      <c r="E615" t="s">
        <v>10</v>
      </c>
      <c r="F615" t="s">
        <v>4</v>
      </c>
      <c r="G615" t="s">
        <v>16</v>
      </c>
      <c r="H615">
        <v>6</v>
      </c>
      <c r="I615">
        <v>8</v>
      </c>
      <c r="J615" t="s">
        <v>49</v>
      </c>
      <c r="K615" t="s">
        <v>73</v>
      </c>
      <c r="L615" t="s">
        <v>85</v>
      </c>
      <c r="M615" t="s">
        <v>713</v>
      </c>
      <c r="N615" t="b">
        <v>0</v>
      </c>
      <c r="O615" t="b">
        <v>0</v>
      </c>
    </row>
    <row r="616" spans="1:15">
      <c r="A616">
        <v>615</v>
      </c>
      <c r="B616" s="1">
        <v>45334.989722222221</v>
      </c>
      <c r="C616" s="2">
        <v>45335.121154907407</v>
      </c>
      <c r="D616" s="2">
        <v>45335.994498807871</v>
      </c>
      <c r="E616" t="s">
        <v>11</v>
      </c>
      <c r="F616" t="s">
        <v>4</v>
      </c>
      <c r="G616" t="s">
        <v>15</v>
      </c>
      <c r="H616">
        <v>3</v>
      </c>
      <c r="I616">
        <v>6</v>
      </c>
      <c r="J616" t="s">
        <v>52</v>
      </c>
      <c r="K616" t="s">
        <v>46</v>
      </c>
      <c r="L616" t="s">
        <v>104</v>
      </c>
      <c r="M616" t="s">
        <v>714</v>
      </c>
      <c r="N616" t="b">
        <v>0</v>
      </c>
      <c r="O616" t="b">
        <v>0</v>
      </c>
    </row>
    <row r="617" spans="1:15">
      <c r="A617">
        <v>616</v>
      </c>
      <c r="B617" s="1">
        <v>45335.035914351851</v>
      </c>
      <c r="C617" s="2">
        <v>45335.143833252318</v>
      </c>
      <c r="E617" t="s">
        <v>11</v>
      </c>
      <c r="F617" t="s">
        <v>80</v>
      </c>
      <c r="G617" t="s">
        <v>14</v>
      </c>
      <c r="H617">
        <v>6</v>
      </c>
      <c r="I617">
        <v>2</v>
      </c>
      <c r="J617" t="s">
        <v>39</v>
      </c>
      <c r="K617" t="s">
        <v>73</v>
      </c>
      <c r="L617" t="s">
        <v>87</v>
      </c>
      <c r="M617" t="s">
        <v>715</v>
      </c>
      <c r="N617" t="b">
        <v>0</v>
      </c>
      <c r="O617" t="b">
        <v>0</v>
      </c>
    </row>
    <row r="618" spans="1:15">
      <c r="A618">
        <v>617</v>
      </c>
      <c r="B618" s="1">
        <v>45335.103530092594</v>
      </c>
      <c r="C618" s="2">
        <v>45335.366492754627</v>
      </c>
      <c r="D618" s="2">
        <v>45335.45631739583</v>
      </c>
      <c r="E618" t="s">
        <v>10</v>
      </c>
      <c r="F618" t="s">
        <v>4</v>
      </c>
      <c r="G618" t="s">
        <v>15</v>
      </c>
      <c r="H618">
        <v>2</v>
      </c>
      <c r="I618">
        <v>2</v>
      </c>
      <c r="J618" t="s">
        <v>39</v>
      </c>
      <c r="K618" t="s">
        <v>57</v>
      </c>
      <c r="L618" t="s">
        <v>102</v>
      </c>
      <c r="M618" t="s">
        <v>716</v>
      </c>
      <c r="N618" t="b">
        <v>0</v>
      </c>
      <c r="O618" t="b">
        <v>0</v>
      </c>
    </row>
    <row r="619" spans="1:15">
      <c r="A619">
        <v>618</v>
      </c>
      <c r="B619" s="1">
        <v>45335.211435185185</v>
      </c>
      <c r="C619" s="2">
        <v>45335.310154317129</v>
      </c>
      <c r="D619" s="2">
        <v>45336.034693055553</v>
      </c>
      <c r="E619" t="s">
        <v>10</v>
      </c>
      <c r="F619" t="s">
        <v>4</v>
      </c>
      <c r="G619" t="s">
        <v>15</v>
      </c>
      <c r="H619">
        <v>8</v>
      </c>
      <c r="I619">
        <v>2</v>
      </c>
      <c r="J619" t="s">
        <v>31</v>
      </c>
      <c r="K619" t="s">
        <v>36</v>
      </c>
      <c r="L619" t="s">
        <v>69</v>
      </c>
      <c r="M619" t="s">
        <v>717</v>
      </c>
      <c r="N619" t="b">
        <v>0</v>
      </c>
      <c r="O619" t="b">
        <v>0</v>
      </c>
    </row>
    <row r="620" spans="1:15">
      <c r="A620">
        <v>619</v>
      </c>
      <c r="B620" s="1">
        <v>45335.242268518516</v>
      </c>
      <c r="C620" s="2">
        <v>45335.433701793983</v>
      </c>
      <c r="D620" s="2">
        <v>45335.652735023148</v>
      </c>
      <c r="E620" t="s">
        <v>10</v>
      </c>
      <c r="F620" t="s">
        <v>4</v>
      </c>
      <c r="G620" t="s">
        <v>17</v>
      </c>
      <c r="H620">
        <v>1</v>
      </c>
      <c r="I620">
        <v>5</v>
      </c>
      <c r="J620" t="s">
        <v>31</v>
      </c>
      <c r="K620" t="s">
        <v>71</v>
      </c>
      <c r="L620" t="s">
        <v>131</v>
      </c>
      <c r="M620" t="s">
        <v>718</v>
      </c>
      <c r="N620" t="b">
        <v>0</v>
      </c>
      <c r="O620" t="b">
        <v>0</v>
      </c>
    </row>
    <row r="621" spans="1:15">
      <c r="A621">
        <v>620</v>
      </c>
      <c r="B621" s="1">
        <v>45335.286886574075</v>
      </c>
      <c r="C621" s="2">
        <v>45335.783966967596</v>
      </c>
      <c r="D621" s="2">
        <v>45337.131448009262</v>
      </c>
      <c r="E621" t="s">
        <v>11</v>
      </c>
      <c r="F621" t="s">
        <v>4</v>
      </c>
      <c r="G621" t="s">
        <v>15</v>
      </c>
      <c r="H621">
        <v>8</v>
      </c>
      <c r="I621">
        <v>4</v>
      </c>
      <c r="J621" t="s">
        <v>39</v>
      </c>
      <c r="K621" t="s">
        <v>36</v>
      </c>
      <c r="L621" t="s">
        <v>124</v>
      </c>
      <c r="M621" t="s">
        <v>719</v>
      </c>
      <c r="N621" t="b">
        <v>0</v>
      </c>
      <c r="O621" t="b">
        <v>0</v>
      </c>
    </row>
    <row r="622" spans="1:15">
      <c r="A622">
        <v>621</v>
      </c>
      <c r="B622" s="1">
        <v>45335.326909722222</v>
      </c>
      <c r="C622" s="2">
        <v>45335.52486002315</v>
      </c>
      <c r="D622" s="2">
        <v>45335.636783229165</v>
      </c>
      <c r="E622" t="s">
        <v>10</v>
      </c>
      <c r="F622" t="s">
        <v>4</v>
      </c>
      <c r="G622" t="s">
        <v>16</v>
      </c>
      <c r="H622">
        <v>4</v>
      </c>
      <c r="I622">
        <v>9</v>
      </c>
      <c r="J622" t="s">
        <v>52</v>
      </c>
      <c r="K622" t="s">
        <v>40</v>
      </c>
      <c r="L622" t="s">
        <v>93</v>
      </c>
      <c r="M622" t="s">
        <v>720</v>
      </c>
      <c r="N622" t="b">
        <v>0</v>
      </c>
      <c r="O622" t="b">
        <v>0</v>
      </c>
    </row>
    <row r="623" spans="1:15">
      <c r="A623">
        <v>622</v>
      </c>
      <c r="B623" s="1">
        <v>45335.338888888888</v>
      </c>
      <c r="C623" s="2">
        <v>45335.657474953703</v>
      </c>
      <c r="D623" s="2">
        <v>45335.905711851854</v>
      </c>
      <c r="E623" t="s">
        <v>10</v>
      </c>
      <c r="F623" t="s">
        <v>2</v>
      </c>
      <c r="G623" t="s">
        <v>14</v>
      </c>
      <c r="H623">
        <v>6</v>
      </c>
      <c r="I623">
        <v>8</v>
      </c>
      <c r="J623" t="s">
        <v>68</v>
      </c>
      <c r="K623" t="s">
        <v>73</v>
      </c>
      <c r="L623" t="s">
        <v>138</v>
      </c>
      <c r="M623" t="s">
        <v>721</v>
      </c>
      <c r="N623" t="b">
        <v>0</v>
      </c>
      <c r="O623" t="b">
        <v>0</v>
      </c>
    </row>
    <row r="624" spans="1:15">
      <c r="A624">
        <v>623</v>
      </c>
      <c r="B624" s="1">
        <v>45335.354409722226</v>
      </c>
      <c r="C624" s="2">
        <v>45336.05239553241</v>
      </c>
      <c r="D624" s="2">
        <v>45336.547978518516</v>
      </c>
      <c r="E624" t="s">
        <v>11</v>
      </c>
      <c r="F624" t="s">
        <v>4</v>
      </c>
      <c r="G624" t="s">
        <v>16</v>
      </c>
      <c r="H624">
        <v>2</v>
      </c>
      <c r="I624">
        <v>2</v>
      </c>
      <c r="J624" t="s">
        <v>35</v>
      </c>
      <c r="K624" t="s">
        <v>57</v>
      </c>
      <c r="L624" t="s">
        <v>44</v>
      </c>
      <c r="M624" t="s">
        <v>722</v>
      </c>
      <c r="N624" t="b">
        <v>0</v>
      </c>
      <c r="O624" t="b">
        <v>0</v>
      </c>
    </row>
    <row r="625" spans="1:15">
      <c r="A625">
        <v>624</v>
      </c>
      <c r="B625" s="1">
        <v>45335.475057870368</v>
      </c>
      <c r="C625" s="2">
        <v>45335.512760381942</v>
      </c>
      <c r="D625" s="2">
        <v>45335.742433576386</v>
      </c>
      <c r="E625" t="s">
        <v>9</v>
      </c>
      <c r="F625" t="s">
        <v>4</v>
      </c>
      <c r="G625" t="s">
        <v>15</v>
      </c>
      <c r="H625">
        <v>3</v>
      </c>
      <c r="I625">
        <v>6</v>
      </c>
      <c r="J625" t="s">
        <v>35</v>
      </c>
      <c r="K625" t="s">
        <v>46</v>
      </c>
      <c r="L625" t="s">
        <v>104</v>
      </c>
      <c r="M625" t="s">
        <v>723</v>
      </c>
      <c r="N625" t="b">
        <v>0</v>
      </c>
      <c r="O625" t="b">
        <v>0</v>
      </c>
    </row>
    <row r="626" spans="1:15">
      <c r="A626">
        <v>625</v>
      </c>
      <c r="B626" s="1">
        <v>45335.601168981484</v>
      </c>
      <c r="C626" s="2">
        <v>45335.677790312497</v>
      </c>
      <c r="D626" s="2">
        <v>45336.228741701387</v>
      </c>
      <c r="E626" t="s">
        <v>10</v>
      </c>
      <c r="F626" t="s">
        <v>4</v>
      </c>
      <c r="G626" t="s">
        <v>14</v>
      </c>
      <c r="H626">
        <v>7</v>
      </c>
      <c r="I626">
        <v>8</v>
      </c>
      <c r="J626" t="s">
        <v>68</v>
      </c>
      <c r="K626" t="s">
        <v>43</v>
      </c>
      <c r="L626" t="s">
        <v>131</v>
      </c>
      <c r="M626" t="s">
        <v>724</v>
      </c>
      <c r="N626" t="b">
        <v>0</v>
      </c>
      <c r="O626" t="b">
        <v>0</v>
      </c>
    </row>
    <row r="627" spans="1:15">
      <c r="A627">
        <v>626</v>
      </c>
      <c r="B627" s="1">
        <v>45335.636018518519</v>
      </c>
      <c r="C627" s="2">
        <v>45335.700761631946</v>
      </c>
      <c r="E627" t="s">
        <v>10</v>
      </c>
      <c r="F627" t="s">
        <v>80</v>
      </c>
      <c r="G627" t="s">
        <v>17</v>
      </c>
      <c r="H627">
        <v>1</v>
      </c>
      <c r="I627">
        <v>7</v>
      </c>
      <c r="J627" t="s">
        <v>31</v>
      </c>
      <c r="K627" t="s">
        <v>71</v>
      </c>
      <c r="L627" t="s">
        <v>136</v>
      </c>
      <c r="M627" t="s">
        <v>725</v>
      </c>
      <c r="N627" t="b">
        <v>0</v>
      </c>
      <c r="O627" t="b">
        <v>0</v>
      </c>
    </row>
    <row r="628" spans="1:15">
      <c r="A628">
        <v>627</v>
      </c>
      <c r="B628" s="1">
        <v>45335.723020833335</v>
      </c>
      <c r="C628" s="2">
        <v>45335.781854699075</v>
      </c>
      <c r="D628" s="2">
        <v>45336.04389202546</v>
      </c>
      <c r="E628" t="s">
        <v>10</v>
      </c>
      <c r="F628" t="s">
        <v>4</v>
      </c>
      <c r="G628" t="s">
        <v>15</v>
      </c>
      <c r="H628">
        <v>2</v>
      </c>
      <c r="I628">
        <v>1</v>
      </c>
      <c r="J628" t="s">
        <v>39</v>
      </c>
      <c r="K628" t="s">
        <v>57</v>
      </c>
      <c r="L628" t="s">
        <v>158</v>
      </c>
      <c r="M628" t="s">
        <v>726</v>
      </c>
      <c r="N628" t="b">
        <v>0</v>
      </c>
      <c r="O628" t="b">
        <v>0</v>
      </c>
    </row>
    <row r="629" spans="1:15">
      <c r="A629">
        <v>628</v>
      </c>
      <c r="B629" s="1">
        <v>45335.742754629631</v>
      </c>
      <c r="C629" s="2">
        <v>45336.381157476855</v>
      </c>
      <c r="D629" s="2">
        <v>45336.742631018518</v>
      </c>
      <c r="E629" t="s">
        <v>11</v>
      </c>
      <c r="F629" t="s">
        <v>4</v>
      </c>
      <c r="G629" t="s">
        <v>14</v>
      </c>
      <c r="H629">
        <v>6</v>
      </c>
      <c r="I629">
        <v>1</v>
      </c>
      <c r="J629" t="s">
        <v>35</v>
      </c>
      <c r="K629" t="s">
        <v>73</v>
      </c>
      <c r="L629" t="s">
        <v>104</v>
      </c>
      <c r="M629" t="s">
        <v>727</v>
      </c>
      <c r="N629" t="b">
        <v>0</v>
      </c>
      <c r="O629" t="b">
        <v>0</v>
      </c>
    </row>
    <row r="630" spans="1:15">
      <c r="A630">
        <v>629</v>
      </c>
      <c r="B630" s="1">
        <v>45335.774259259262</v>
      </c>
      <c r="C630" s="2">
        <v>45336.011897430559</v>
      </c>
      <c r="D630" s="2">
        <v>45336.075653321757</v>
      </c>
      <c r="E630" t="s">
        <v>10</v>
      </c>
      <c r="F630" t="s">
        <v>4</v>
      </c>
      <c r="G630" t="s">
        <v>14</v>
      </c>
      <c r="H630">
        <v>7</v>
      </c>
      <c r="I630">
        <v>6</v>
      </c>
      <c r="J630" t="s">
        <v>31</v>
      </c>
      <c r="K630" t="s">
        <v>43</v>
      </c>
      <c r="L630" t="s">
        <v>85</v>
      </c>
      <c r="M630" t="s">
        <v>728</v>
      </c>
      <c r="N630" t="b">
        <v>0</v>
      </c>
      <c r="O630" t="b">
        <v>0</v>
      </c>
    </row>
    <row r="631" spans="1:15">
      <c r="A631">
        <v>630</v>
      </c>
      <c r="B631" s="1">
        <v>45335.780624999999</v>
      </c>
      <c r="C631" s="2">
        <v>45335.874235787036</v>
      </c>
      <c r="D631" s="2">
        <v>45336.208558252314</v>
      </c>
      <c r="E631" t="s">
        <v>10</v>
      </c>
      <c r="F631" t="s">
        <v>4</v>
      </c>
      <c r="G631" t="s">
        <v>16</v>
      </c>
      <c r="H631">
        <v>4</v>
      </c>
      <c r="I631">
        <v>10</v>
      </c>
      <c r="J631" t="s">
        <v>39</v>
      </c>
      <c r="K631" t="s">
        <v>40</v>
      </c>
      <c r="L631" t="s">
        <v>174</v>
      </c>
      <c r="M631" t="s">
        <v>729</v>
      </c>
      <c r="N631" t="b">
        <v>0</v>
      </c>
      <c r="O631" t="b">
        <v>0</v>
      </c>
    </row>
    <row r="632" spans="1:15">
      <c r="A632">
        <v>631</v>
      </c>
      <c r="B632" s="1">
        <v>45335.820462962962</v>
      </c>
      <c r="C632" s="2">
        <v>45335.893643530093</v>
      </c>
      <c r="E632" t="s">
        <v>10</v>
      </c>
      <c r="F632" t="s">
        <v>3</v>
      </c>
      <c r="G632" t="s">
        <v>16</v>
      </c>
      <c r="H632">
        <v>1</v>
      </c>
      <c r="I632">
        <v>1</v>
      </c>
      <c r="J632" t="s">
        <v>52</v>
      </c>
      <c r="K632" t="s">
        <v>71</v>
      </c>
      <c r="L632" t="s">
        <v>96</v>
      </c>
      <c r="M632" t="s">
        <v>730</v>
      </c>
      <c r="N632" t="b">
        <v>0</v>
      </c>
      <c r="O632" t="b">
        <v>0</v>
      </c>
    </row>
    <row r="633" spans="1:15">
      <c r="A633">
        <v>632</v>
      </c>
      <c r="B633" s="1">
        <v>45335.98914351852</v>
      </c>
      <c r="C633" s="2">
        <v>45336.041540879633</v>
      </c>
      <c r="D633" s="2">
        <v>45336.136798009262</v>
      </c>
      <c r="E633" t="s">
        <v>9</v>
      </c>
      <c r="F633" t="s">
        <v>4</v>
      </c>
      <c r="G633" t="s">
        <v>15</v>
      </c>
      <c r="H633">
        <v>2</v>
      </c>
      <c r="I633">
        <v>2</v>
      </c>
      <c r="J633" t="s">
        <v>68</v>
      </c>
      <c r="K633" t="s">
        <v>57</v>
      </c>
      <c r="L633" t="s">
        <v>124</v>
      </c>
      <c r="M633" t="s">
        <v>731</v>
      </c>
      <c r="N633" t="b">
        <v>0</v>
      </c>
      <c r="O633" t="b">
        <v>0</v>
      </c>
    </row>
    <row r="634" spans="1:15">
      <c r="A634">
        <v>633</v>
      </c>
      <c r="B634" s="1">
        <v>45335.999756944446</v>
      </c>
      <c r="C634" s="2">
        <v>45336.553853518519</v>
      </c>
      <c r="D634" s="2">
        <v>45338.589346550929</v>
      </c>
      <c r="E634" t="s">
        <v>11</v>
      </c>
      <c r="F634" t="s">
        <v>4</v>
      </c>
      <c r="G634" t="s">
        <v>16</v>
      </c>
      <c r="H634">
        <v>8</v>
      </c>
      <c r="I634">
        <v>2</v>
      </c>
      <c r="J634" t="s">
        <v>52</v>
      </c>
      <c r="K634" t="s">
        <v>36</v>
      </c>
      <c r="L634" t="s">
        <v>121</v>
      </c>
      <c r="M634" t="s">
        <v>732</v>
      </c>
      <c r="N634" t="b">
        <v>0</v>
      </c>
      <c r="O634" t="b">
        <v>0</v>
      </c>
    </row>
    <row r="635" spans="1:15">
      <c r="A635">
        <v>634</v>
      </c>
      <c r="B635" s="1">
        <v>45336.053506944445</v>
      </c>
      <c r="C635" s="2">
        <v>45336.273720555553</v>
      </c>
      <c r="D635" s="2">
        <v>45337.262517499999</v>
      </c>
      <c r="E635" t="s">
        <v>11</v>
      </c>
      <c r="F635" t="s">
        <v>2</v>
      </c>
      <c r="G635" t="s">
        <v>16</v>
      </c>
      <c r="H635">
        <v>2</v>
      </c>
      <c r="I635">
        <v>4</v>
      </c>
      <c r="J635" t="s">
        <v>49</v>
      </c>
      <c r="K635" t="s">
        <v>57</v>
      </c>
      <c r="L635" t="s">
        <v>50</v>
      </c>
      <c r="M635" t="s">
        <v>733</v>
      </c>
      <c r="N635" t="b">
        <v>0</v>
      </c>
      <c r="O635" t="b">
        <v>0</v>
      </c>
    </row>
    <row r="636" spans="1:15">
      <c r="A636">
        <v>635</v>
      </c>
      <c r="B636" s="1">
        <v>45336.135451388887</v>
      </c>
      <c r="C636" s="2">
        <v>45336.596976030094</v>
      </c>
      <c r="E636" t="s">
        <v>11</v>
      </c>
      <c r="F636" t="s">
        <v>80</v>
      </c>
      <c r="G636" t="s">
        <v>14</v>
      </c>
      <c r="H636">
        <v>5</v>
      </c>
      <c r="I636">
        <v>9</v>
      </c>
      <c r="J636" t="s">
        <v>31</v>
      </c>
      <c r="K636" t="s">
        <v>32</v>
      </c>
      <c r="L636" t="s">
        <v>131</v>
      </c>
      <c r="M636" t="s">
        <v>734</v>
      </c>
      <c r="N636" t="b">
        <v>0</v>
      </c>
      <c r="O636" t="b">
        <v>0</v>
      </c>
    </row>
    <row r="637" spans="1:15">
      <c r="A637">
        <v>636</v>
      </c>
      <c r="B637" s="1">
        <v>45336.185381944444</v>
      </c>
      <c r="C637" s="2">
        <v>45336.573005196762</v>
      </c>
      <c r="D637" s="2">
        <v>45337.713803425926</v>
      </c>
      <c r="E637" t="s">
        <v>11</v>
      </c>
      <c r="F637" t="s">
        <v>4</v>
      </c>
      <c r="G637" t="s">
        <v>15</v>
      </c>
      <c r="H637">
        <v>8</v>
      </c>
      <c r="I637">
        <v>10</v>
      </c>
      <c r="J637" t="s">
        <v>39</v>
      </c>
      <c r="K637" t="s">
        <v>36</v>
      </c>
      <c r="L637" t="s">
        <v>62</v>
      </c>
      <c r="M637" t="s">
        <v>735</v>
      </c>
      <c r="N637" t="b">
        <v>0</v>
      </c>
      <c r="O637" t="b">
        <v>0</v>
      </c>
    </row>
    <row r="638" spans="1:15">
      <c r="A638">
        <v>637</v>
      </c>
      <c r="B638" s="1">
        <v>45336.185706018521</v>
      </c>
      <c r="C638" s="2">
        <v>45336.494072754627</v>
      </c>
      <c r="D638" s="2">
        <v>45336.494069224536</v>
      </c>
      <c r="E638" t="s">
        <v>10</v>
      </c>
      <c r="F638" t="s">
        <v>4</v>
      </c>
      <c r="G638" t="s">
        <v>17</v>
      </c>
      <c r="H638">
        <v>4</v>
      </c>
      <c r="I638">
        <v>4</v>
      </c>
      <c r="J638" t="s">
        <v>31</v>
      </c>
      <c r="K638" t="s">
        <v>40</v>
      </c>
      <c r="L638" t="s">
        <v>200</v>
      </c>
      <c r="M638" t="s">
        <v>736</v>
      </c>
      <c r="N638" t="b">
        <v>0</v>
      </c>
      <c r="O638" t="b">
        <v>0</v>
      </c>
    </row>
    <row r="639" spans="1:15">
      <c r="A639">
        <v>638</v>
      </c>
      <c r="B639" s="1">
        <v>45336.228819444441</v>
      </c>
      <c r="C639" s="2">
        <v>45336.392551828707</v>
      </c>
      <c r="D639" s="2">
        <v>45336.565598715279</v>
      </c>
      <c r="E639" t="s">
        <v>10</v>
      </c>
      <c r="F639" t="s">
        <v>4</v>
      </c>
      <c r="G639" t="s">
        <v>15</v>
      </c>
      <c r="H639">
        <v>1</v>
      </c>
      <c r="I639">
        <v>8</v>
      </c>
      <c r="J639" t="s">
        <v>49</v>
      </c>
      <c r="K639" t="s">
        <v>71</v>
      </c>
      <c r="L639" t="s">
        <v>250</v>
      </c>
      <c r="M639" t="s">
        <v>737</v>
      </c>
      <c r="N639" t="b">
        <v>0</v>
      </c>
      <c r="O639" t="b">
        <v>0</v>
      </c>
    </row>
    <row r="640" spans="1:15">
      <c r="A640">
        <v>639</v>
      </c>
      <c r="B640" s="1">
        <v>45336.289155092592</v>
      </c>
      <c r="C640" s="2">
        <v>45336.519601979169</v>
      </c>
      <c r="D640" s="2">
        <v>45336.806607627317</v>
      </c>
      <c r="E640" t="s">
        <v>10</v>
      </c>
      <c r="F640" t="s">
        <v>4</v>
      </c>
      <c r="G640" t="s">
        <v>15</v>
      </c>
      <c r="H640">
        <v>7</v>
      </c>
      <c r="I640">
        <v>1</v>
      </c>
      <c r="J640" t="s">
        <v>52</v>
      </c>
      <c r="K640" t="s">
        <v>43</v>
      </c>
      <c r="L640" t="s">
        <v>221</v>
      </c>
      <c r="M640" t="s">
        <v>738</v>
      </c>
      <c r="N640" t="b">
        <v>0</v>
      </c>
      <c r="O640" t="b">
        <v>0</v>
      </c>
    </row>
    <row r="641" spans="1:15">
      <c r="A641">
        <v>640</v>
      </c>
      <c r="B641" s="1">
        <v>45336.464166666665</v>
      </c>
      <c r="C641" s="2">
        <v>45336.545504479167</v>
      </c>
      <c r="D641" s="2">
        <v>45336.55248056713</v>
      </c>
      <c r="E641" t="s">
        <v>9</v>
      </c>
      <c r="F641" t="s">
        <v>2</v>
      </c>
      <c r="G641" t="s">
        <v>16</v>
      </c>
      <c r="H641">
        <v>7</v>
      </c>
      <c r="I641">
        <v>6</v>
      </c>
      <c r="J641" t="s">
        <v>31</v>
      </c>
      <c r="K641" t="s">
        <v>43</v>
      </c>
      <c r="L641" t="s">
        <v>96</v>
      </c>
      <c r="M641" t="s">
        <v>739</v>
      </c>
      <c r="N641" t="b">
        <v>0</v>
      </c>
      <c r="O641" t="b">
        <v>0</v>
      </c>
    </row>
    <row r="642" spans="1:15">
      <c r="A642">
        <v>641</v>
      </c>
      <c r="B642" s="1">
        <v>45336.464826388888</v>
      </c>
      <c r="C642" s="2">
        <v>45336.745024039352</v>
      </c>
      <c r="D642" s="2">
        <v>45336.716182453703</v>
      </c>
      <c r="E642" t="s">
        <v>10</v>
      </c>
      <c r="F642" t="s">
        <v>4</v>
      </c>
      <c r="G642" t="s">
        <v>16</v>
      </c>
      <c r="H642">
        <v>6</v>
      </c>
      <c r="I642">
        <v>7</v>
      </c>
      <c r="J642" t="s">
        <v>68</v>
      </c>
      <c r="K642" t="s">
        <v>73</v>
      </c>
      <c r="L642" t="s">
        <v>136</v>
      </c>
      <c r="M642" t="s">
        <v>740</v>
      </c>
      <c r="N642" t="b">
        <v>0</v>
      </c>
      <c r="O642" t="b">
        <v>0</v>
      </c>
    </row>
    <row r="643" spans="1:15">
      <c r="A643">
        <v>642</v>
      </c>
      <c r="B643" s="1">
        <v>45336.493692129632</v>
      </c>
      <c r="C643" s="2">
        <v>45336.679060578703</v>
      </c>
      <c r="D643" s="2">
        <v>45336.852296759258</v>
      </c>
      <c r="E643" t="s">
        <v>10</v>
      </c>
      <c r="F643" t="s">
        <v>4</v>
      </c>
      <c r="G643" t="s">
        <v>16</v>
      </c>
      <c r="H643">
        <v>8</v>
      </c>
      <c r="I643">
        <v>9</v>
      </c>
      <c r="J643" t="s">
        <v>39</v>
      </c>
      <c r="K643" t="s">
        <v>36</v>
      </c>
      <c r="L643" t="s">
        <v>106</v>
      </c>
      <c r="M643" t="s">
        <v>741</v>
      </c>
      <c r="N643" t="b">
        <v>0</v>
      </c>
      <c r="O643" t="b">
        <v>0</v>
      </c>
    </row>
    <row r="644" spans="1:15">
      <c r="A644">
        <v>643</v>
      </c>
      <c r="B644" s="1">
        <v>45336.578796296293</v>
      </c>
      <c r="C644" s="2">
        <v>45336.598779328706</v>
      </c>
      <c r="D644" s="2">
        <v>45336.735577777778</v>
      </c>
      <c r="E644" t="s">
        <v>8</v>
      </c>
      <c r="F644" t="s">
        <v>4</v>
      </c>
      <c r="G644" t="s">
        <v>15</v>
      </c>
      <c r="H644">
        <v>7</v>
      </c>
      <c r="I644">
        <v>9</v>
      </c>
      <c r="J644" t="s">
        <v>31</v>
      </c>
      <c r="K644" t="s">
        <v>43</v>
      </c>
      <c r="L644" t="s">
        <v>117</v>
      </c>
      <c r="M644" t="s">
        <v>742</v>
      </c>
      <c r="N644" t="b">
        <v>1</v>
      </c>
      <c r="O644" t="b">
        <v>0</v>
      </c>
    </row>
    <row r="645" spans="1:15">
      <c r="A645">
        <v>644</v>
      </c>
      <c r="B645" s="1">
        <v>45336.624201388891</v>
      </c>
      <c r="C645" s="2">
        <v>45337.112027442126</v>
      </c>
      <c r="D645" s="2">
        <v>45339.181032094908</v>
      </c>
      <c r="E645" t="s">
        <v>11</v>
      </c>
      <c r="F645" t="s">
        <v>4</v>
      </c>
      <c r="G645" t="s">
        <v>17</v>
      </c>
      <c r="H645">
        <v>6</v>
      </c>
      <c r="I645">
        <v>1</v>
      </c>
      <c r="J645" t="s">
        <v>35</v>
      </c>
      <c r="K645" t="s">
        <v>73</v>
      </c>
      <c r="L645" t="s">
        <v>310</v>
      </c>
      <c r="M645" t="s">
        <v>743</v>
      </c>
      <c r="N645" t="b">
        <v>0</v>
      </c>
      <c r="O645" t="b">
        <v>0</v>
      </c>
    </row>
    <row r="646" spans="1:15">
      <c r="A646">
        <v>645</v>
      </c>
      <c r="B646" s="1">
        <v>45336.637650462966</v>
      </c>
      <c r="C646" s="2">
        <v>45336.686280462964</v>
      </c>
      <c r="D646" s="2">
        <v>45336.806394375002</v>
      </c>
      <c r="E646" t="s">
        <v>9</v>
      </c>
      <c r="F646" t="s">
        <v>4</v>
      </c>
      <c r="G646" t="s">
        <v>17</v>
      </c>
      <c r="H646">
        <v>3</v>
      </c>
      <c r="I646">
        <v>5</v>
      </c>
      <c r="J646" t="s">
        <v>39</v>
      </c>
      <c r="K646" t="s">
        <v>46</v>
      </c>
      <c r="L646" t="s">
        <v>81</v>
      </c>
      <c r="M646" t="s">
        <v>744</v>
      </c>
      <c r="N646" t="b">
        <v>0</v>
      </c>
      <c r="O646" t="b">
        <v>0</v>
      </c>
    </row>
    <row r="647" spans="1:15">
      <c r="A647">
        <v>646</v>
      </c>
      <c r="B647" s="1">
        <v>45336.705682870372</v>
      </c>
      <c r="C647" s="2">
        <v>45336.77319738426</v>
      </c>
      <c r="D647" s="2">
        <v>45337.396343796296</v>
      </c>
      <c r="E647" t="s">
        <v>10</v>
      </c>
      <c r="F647" t="s">
        <v>4</v>
      </c>
      <c r="G647" t="s">
        <v>17</v>
      </c>
      <c r="H647">
        <v>1</v>
      </c>
      <c r="I647">
        <v>1</v>
      </c>
      <c r="J647" t="s">
        <v>39</v>
      </c>
      <c r="K647" t="s">
        <v>71</v>
      </c>
      <c r="L647" t="s">
        <v>37</v>
      </c>
      <c r="M647" t="s">
        <v>745</v>
      </c>
      <c r="N647" t="b">
        <v>0</v>
      </c>
      <c r="O647" t="b">
        <v>0</v>
      </c>
    </row>
    <row r="648" spans="1:15">
      <c r="A648">
        <v>647</v>
      </c>
      <c r="B648" s="1">
        <v>45336.767754629633</v>
      </c>
      <c r="C648" s="2">
        <v>45337.425831909721</v>
      </c>
      <c r="E648" t="s">
        <v>11</v>
      </c>
      <c r="F648" t="s">
        <v>80</v>
      </c>
      <c r="G648" t="s">
        <v>17</v>
      </c>
      <c r="H648">
        <v>6</v>
      </c>
      <c r="I648">
        <v>1</v>
      </c>
      <c r="J648" t="s">
        <v>49</v>
      </c>
      <c r="K648" t="s">
        <v>73</v>
      </c>
      <c r="L648" t="s">
        <v>60</v>
      </c>
      <c r="M648" t="s">
        <v>746</v>
      </c>
      <c r="N648" t="b">
        <v>0</v>
      </c>
      <c r="O648" t="b">
        <v>0</v>
      </c>
    </row>
    <row r="649" spans="1:15">
      <c r="A649">
        <v>648</v>
      </c>
      <c r="B649" s="1">
        <v>45336.807164351849</v>
      </c>
      <c r="C649" s="2">
        <v>45337.003301747682</v>
      </c>
      <c r="D649" s="2">
        <v>45337.182107627312</v>
      </c>
      <c r="E649" t="s">
        <v>10</v>
      </c>
      <c r="F649" t="s">
        <v>4</v>
      </c>
      <c r="G649" t="s">
        <v>16</v>
      </c>
      <c r="H649">
        <v>7</v>
      </c>
      <c r="I649">
        <v>2</v>
      </c>
      <c r="J649" t="s">
        <v>68</v>
      </c>
      <c r="K649" t="s">
        <v>43</v>
      </c>
      <c r="L649" t="s">
        <v>158</v>
      </c>
      <c r="M649" t="s">
        <v>747</v>
      </c>
      <c r="N649" t="b">
        <v>0</v>
      </c>
      <c r="O649" t="b">
        <v>0</v>
      </c>
    </row>
    <row r="650" spans="1:15">
      <c r="A650">
        <v>649</v>
      </c>
      <c r="B650" s="1">
        <v>45336.991296296299</v>
      </c>
      <c r="C650" s="2">
        <v>45337.075140497684</v>
      </c>
      <c r="D650" s="2">
        <v>45337.12504457176</v>
      </c>
      <c r="E650" t="s">
        <v>9</v>
      </c>
      <c r="F650" t="s">
        <v>4</v>
      </c>
      <c r="G650" t="s">
        <v>14</v>
      </c>
      <c r="H650">
        <v>6</v>
      </c>
      <c r="I650">
        <v>10</v>
      </c>
      <c r="J650" t="s">
        <v>52</v>
      </c>
      <c r="K650" t="s">
        <v>73</v>
      </c>
      <c r="L650" t="s">
        <v>102</v>
      </c>
      <c r="M650" t="s">
        <v>748</v>
      </c>
      <c r="N650" t="b">
        <v>0</v>
      </c>
      <c r="O650" t="b">
        <v>0</v>
      </c>
    </row>
    <row r="651" spans="1:15">
      <c r="A651">
        <v>650</v>
      </c>
      <c r="B651" s="1">
        <v>45337.151921296296</v>
      </c>
      <c r="C651" s="2">
        <v>45337.210784108793</v>
      </c>
      <c r="D651" s="2">
        <v>45337.883583159724</v>
      </c>
      <c r="E651" t="s">
        <v>10</v>
      </c>
      <c r="F651" t="s">
        <v>4</v>
      </c>
      <c r="G651" t="s">
        <v>14</v>
      </c>
      <c r="H651">
        <v>6</v>
      </c>
      <c r="I651">
        <v>3</v>
      </c>
      <c r="J651" t="s">
        <v>31</v>
      </c>
      <c r="K651" t="s">
        <v>73</v>
      </c>
      <c r="L651" t="s">
        <v>100</v>
      </c>
      <c r="M651" t="s">
        <v>749</v>
      </c>
      <c r="N651" t="b">
        <v>0</v>
      </c>
      <c r="O651" t="b">
        <v>0</v>
      </c>
    </row>
    <row r="652" spans="1:15">
      <c r="A652">
        <v>651</v>
      </c>
      <c r="B652" s="1">
        <v>45337.176516203705</v>
      </c>
      <c r="C652" s="2">
        <v>45337.311787546299</v>
      </c>
      <c r="D652" s="2">
        <v>45339.821843761572</v>
      </c>
      <c r="E652" t="s">
        <v>11</v>
      </c>
      <c r="F652" t="s">
        <v>4</v>
      </c>
      <c r="G652" t="s">
        <v>15</v>
      </c>
      <c r="H652">
        <v>6</v>
      </c>
      <c r="I652">
        <v>8</v>
      </c>
      <c r="J652" t="s">
        <v>68</v>
      </c>
      <c r="K652" t="s">
        <v>73</v>
      </c>
      <c r="L652" t="s">
        <v>89</v>
      </c>
      <c r="M652" t="s">
        <v>750</v>
      </c>
      <c r="N652" t="b">
        <v>0</v>
      </c>
      <c r="O652" t="b">
        <v>0</v>
      </c>
    </row>
    <row r="653" spans="1:15">
      <c r="A653">
        <v>652</v>
      </c>
      <c r="B653" s="1">
        <v>45337.192893518521</v>
      </c>
      <c r="C653" s="2">
        <v>45337.98131023148</v>
      </c>
      <c r="D653" s="2">
        <v>45339.61145773148</v>
      </c>
      <c r="E653" t="s">
        <v>11</v>
      </c>
      <c r="F653" t="s">
        <v>4</v>
      </c>
      <c r="G653" t="s">
        <v>17</v>
      </c>
      <c r="H653">
        <v>3</v>
      </c>
      <c r="I653">
        <v>8</v>
      </c>
      <c r="J653" t="s">
        <v>68</v>
      </c>
      <c r="K653" t="s">
        <v>46</v>
      </c>
      <c r="L653" t="s">
        <v>104</v>
      </c>
      <c r="M653" t="s">
        <v>751</v>
      </c>
      <c r="N653" t="b">
        <v>0</v>
      </c>
      <c r="O653" t="b">
        <v>0</v>
      </c>
    </row>
    <row r="654" spans="1:15">
      <c r="A654">
        <v>653</v>
      </c>
      <c r="B654" s="1">
        <v>45337.287743055553</v>
      </c>
      <c r="C654" s="2">
        <v>45337.511162499999</v>
      </c>
      <c r="D654" s="2">
        <v>45337.815249398147</v>
      </c>
      <c r="E654" t="s">
        <v>10</v>
      </c>
      <c r="F654" t="s">
        <v>2</v>
      </c>
      <c r="G654" t="s">
        <v>17</v>
      </c>
      <c r="H654">
        <v>1</v>
      </c>
      <c r="I654">
        <v>9</v>
      </c>
      <c r="J654" t="s">
        <v>35</v>
      </c>
      <c r="K654" t="s">
        <v>71</v>
      </c>
      <c r="L654" t="s">
        <v>104</v>
      </c>
      <c r="M654" t="s">
        <v>752</v>
      </c>
      <c r="N654" t="b">
        <v>0</v>
      </c>
      <c r="O654" t="b">
        <v>0</v>
      </c>
    </row>
    <row r="655" spans="1:15">
      <c r="A655">
        <v>654</v>
      </c>
      <c r="B655" s="1">
        <v>45337.358587962961</v>
      </c>
      <c r="C655" s="2">
        <v>45337.428126423612</v>
      </c>
      <c r="D655" s="2">
        <v>45337.5139384375</v>
      </c>
      <c r="E655" t="s">
        <v>9</v>
      </c>
      <c r="F655" t="s">
        <v>4</v>
      </c>
      <c r="G655" t="s">
        <v>17</v>
      </c>
      <c r="H655">
        <v>6</v>
      </c>
      <c r="I655">
        <v>6</v>
      </c>
      <c r="J655" t="s">
        <v>39</v>
      </c>
      <c r="K655" t="s">
        <v>73</v>
      </c>
      <c r="L655" t="s">
        <v>213</v>
      </c>
      <c r="M655" t="s">
        <v>753</v>
      </c>
      <c r="N655" t="b">
        <v>0</v>
      </c>
      <c r="O655" t="b">
        <v>0</v>
      </c>
    </row>
    <row r="656" spans="1:15">
      <c r="A656">
        <v>655</v>
      </c>
      <c r="B656" s="1">
        <v>45337.368993055556</v>
      </c>
      <c r="C656" s="2">
        <v>45337.681429988428</v>
      </c>
      <c r="D656" s="2">
        <v>45338.283209502311</v>
      </c>
      <c r="E656" t="s">
        <v>10</v>
      </c>
      <c r="F656" t="s">
        <v>4</v>
      </c>
      <c r="G656" t="s">
        <v>16</v>
      </c>
      <c r="H656">
        <v>8</v>
      </c>
      <c r="I656">
        <v>10</v>
      </c>
      <c r="J656" t="s">
        <v>35</v>
      </c>
      <c r="K656" t="s">
        <v>36</v>
      </c>
      <c r="L656" t="s">
        <v>174</v>
      </c>
      <c r="M656" t="s">
        <v>754</v>
      </c>
      <c r="N656" t="b">
        <v>1</v>
      </c>
      <c r="O656" t="b">
        <v>0</v>
      </c>
    </row>
    <row r="657" spans="1:15">
      <c r="A657">
        <v>656</v>
      </c>
      <c r="B657" s="1">
        <v>45337.593622685185</v>
      </c>
      <c r="C657" s="2">
        <v>45337.718993437498</v>
      </c>
      <c r="D657" s="2">
        <v>45337.911511631944</v>
      </c>
      <c r="E657" t="s">
        <v>10</v>
      </c>
      <c r="F657" t="s">
        <v>4</v>
      </c>
      <c r="G657" t="s">
        <v>15</v>
      </c>
      <c r="H657">
        <v>2</v>
      </c>
      <c r="I657">
        <v>5</v>
      </c>
      <c r="J657" t="s">
        <v>35</v>
      </c>
      <c r="K657" t="s">
        <v>57</v>
      </c>
      <c r="L657" t="s">
        <v>37</v>
      </c>
      <c r="M657" t="s">
        <v>755</v>
      </c>
      <c r="N657" t="b">
        <v>0</v>
      </c>
      <c r="O657" t="b">
        <v>0</v>
      </c>
    </row>
    <row r="658" spans="1:15">
      <c r="A658">
        <v>657</v>
      </c>
      <c r="B658" s="1">
        <v>45337.644768518519</v>
      </c>
      <c r="C658" s="2">
        <v>45337.764680787041</v>
      </c>
      <c r="D658" s="2">
        <v>45339.585617557874</v>
      </c>
      <c r="E658" t="s">
        <v>11</v>
      </c>
      <c r="F658" t="s">
        <v>4</v>
      </c>
      <c r="G658" t="s">
        <v>15</v>
      </c>
      <c r="H658">
        <v>1</v>
      </c>
      <c r="I658">
        <v>8</v>
      </c>
      <c r="J658" t="s">
        <v>68</v>
      </c>
      <c r="K658" t="s">
        <v>71</v>
      </c>
      <c r="L658" t="s">
        <v>138</v>
      </c>
      <c r="M658" t="s">
        <v>756</v>
      </c>
      <c r="N658" t="b">
        <v>0</v>
      </c>
      <c r="O658" t="b">
        <v>0</v>
      </c>
    </row>
    <row r="659" spans="1:15">
      <c r="A659">
        <v>658</v>
      </c>
      <c r="B659" s="1">
        <v>45337.703414351854</v>
      </c>
      <c r="C659" s="2">
        <v>45338.291170717595</v>
      </c>
      <c r="D659" s="2">
        <v>45339.504883287038</v>
      </c>
      <c r="E659" t="s">
        <v>11</v>
      </c>
      <c r="F659" t="s">
        <v>4</v>
      </c>
      <c r="G659" t="s">
        <v>16</v>
      </c>
      <c r="H659">
        <v>6</v>
      </c>
      <c r="I659">
        <v>8</v>
      </c>
      <c r="J659" t="s">
        <v>39</v>
      </c>
      <c r="K659" t="s">
        <v>73</v>
      </c>
      <c r="L659" t="s">
        <v>37</v>
      </c>
      <c r="M659" t="s">
        <v>757</v>
      </c>
      <c r="N659" t="b">
        <v>0</v>
      </c>
      <c r="O659" t="b">
        <v>0</v>
      </c>
    </row>
    <row r="660" spans="1:15">
      <c r="A660">
        <v>659</v>
      </c>
      <c r="B660" s="1">
        <v>45337.751504629632</v>
      </c>
      <c r="C660" s="2">
        <v>45337.91581186343</v>
      </c>
      <c r="D660" s="2">
        <v>45339.191683946759</v>
      </c>
      <c r="E660" t="s">
        <v>11</v>
      </c>
      <c r="F660" t="s">
        <v>4</v>
      </c>
      <c r="G660" t="s">
        <v>17</v>
      </c>
      <c r="H660">
        <v>4</v>
      </c>
      <c r="I660">
        <v>6</v>
      </c>
      <c r="J660" t="s">
        <v>35</v>
      </c>
      <c r="K660" t="s">
        <v>40</v>
      </c>
      <c r="L660" t="s">
        <v>121</v>
      </c>
      <c r="M660" t="s">
        <v>758</v>
      </c>
      <c r="N660" t="b">
        <v>0</v>
      </c>
      <c r="O660" t="b">
        <v>0</v>
      </c>
    </row>
    <row r="661" spans="1:15">
      <c r="A661">
        <v>660</v>
      </c>
      <c r="B661" s="1">
        <v>45337.828368055554</v>
      </c>
      <c r="C661" s="2">
        <v>45338.635935127313</v>
      </c>
      <c r="D661" s="2">
        <v>45339.94006079861</v>
      </c>
      <c r="E661" t="s">
        <v>11</v>
      </c>
      <c r="F661" t="s">
        <v>4</v>
      </c>
      <c r="G661" t="s">
        <v>17</v>
      </c>
      <c r="H661">
        <v>8</v>
      </c>
      <c r="I661">
        <v>4</v>
      </c>
      <c r="J661" t="s">
        <v>49</v>
      </c>
      <c r="K661" t="s">
        <v>36</v>
      </c>
      <c r="L661" t="s">
        <v>33</v>
      </c>
      <c r="M661" t="s">
        <v>759</v>
      </c>
      <c r="N661" t="b">
        <v>0</v>
      </c>
      <c r="O661" t="b">
        <v>0</v>
      </c>
    </row>
    <row r="662" spans="1:15">
      <c r="A662">
        <v>661</v>
      </c>
      <c r="B662" s="1">
        <v>45337.862245370372</v>
      </c>
      <c r="C662" s="2">
        <v>45337.985885995367</v>
      </c>
      <c r="D662" s="2">
        <v>45338.699995347219</v>
      </c>
      <c r="E662" t="s">
        <v>10</v>
      </c>
      <c r="F662" t="s">
        <v>4</v>
      </c>
      <c r="G662" t="s">
        <v>16</v>
      </c>
      <c r="H662">
        <v>4</v>
      </c>
      <c r="I662">
        <v>2</v>
      </c>
      <c r="J662" t="s">
        <v>31</v>
      </c>
      <c r="K662" t="s">
        <v>40</v>
      </c>
      <c r="L662" t="s">
        <v>179</v>
      </c>
      <c r="M662" t="s">
        <v>760</v>
      </c>
      <c r="N662" t="b">
        <v>0</v>
      </c>
      <c r="O662" t="b">
        <v>0</v>
      </c>
    </row>
    <row r="663" spans="1:15">
      <c r="A663">
        <v>662</v>
      </c>
      <c r="B663" s="1">
        <v>45337.907696759263</v>
      </c>
      <c r="C663" s="2">
        <v>45338.644667893517</v>
      </c>
      <c r="D663" s="2">
        <v>45340.482199722224</v>
      </c>
      <c r="E663" t="s">
        <v>11</v>
      </c>
      <c r="F663" t="s">
        <v>4</v>
      </c>
      <c r="G663" t="s">
        <v>14</v>
      </c>
      <c r="H663">
        <v>5</v>
      </c>
      <c r="I663">
        <v>1</v>
      </c>
      <c r="J663" t="s">
        <v>35</v>
      </c>
      <c r="K663" t="s">
        <v>32</v>
      </c>
      <c r="L663" t="s">
        <v>110</v>
      </c>
      <c r="M663" t="s">
        <v>761</v>
      </c>
      <c r="N663" t="b">
        <v>0</v>
      </c>
      <c r="O663" t="b">
        <v>0</v>
      </c>
    </row>
    <row r="664" spans="1:15">
      <c r="A664">
        <v>663</v>
      </c>
      <c r="B664" s="1">
        <v>45337.965543981481</v>
      </c>
      <c r="C664" s="2">
        <v>45338.074086180553</v>
      </c>
      <c r="D664" s="2">
        <v>45338.696890543979</v>
      </c>
      <c r="E664" t="s">
        <v>10</v>
      </c>
      <c r="F664" t="s">
        <v>4</v>
      </c>
      <c r="G664" t="s">
        <v>14</v>
      </c>
      <c r="H664">
        <v>1</v>
      </c>
      <c r="I664">
        <v>5</v>
      </c>
      <c r="J664" t="s">
        <v>49</v>
      </c>
      <c r="K664" t="s">
        <v>71</v>
      </c>
      <c r="L664" t="s">
        <v>106</v>
      </c>
      <c r="M664" t="s">
        <v>762</v>
      </c>
      <c r="N664" t="b">
        <v>0</v>
      </c>
      <c r="O664" t="b">
        <v>0</v>
      </c>
    </row>
    <row r="665" spans="1:15">
      <c r="A665">
        <v>664</v>
      </c>
      <c r="B665" s="1">
        <v>45337.968263888892</v>
      </c>
      <c r="C665" s="2">
        <v>45338.267929641202</v>
      </c>
      <c r="D665" s="2">
        <v>45338.429861932869</v>
      </c>
      <c r="E665" t="s">
        <v>10</v>
      </c>
      <c r="F665" t="s">
        <v>4</v>
      </c>
      <c r="G665" t="s">
        <v>15</v>
      </c>
      <c r="H665">
        <v>8</v>
      </c>
      <c r="I665">
        <v>4</v>
      </c>
      <c r="J665" t="s">
        <v>39</v>
      </c>
      <c r="K665" t="s">
        <v>36</v>
      </c>
      <c r="L665" t="s">
        <v>37</v>
      </c>
      <c r="M665" t="s">
        <v>763</v>
      </c>
      <c r="N665" t="b">
        <v>0</v>
      </c>
      <c r="O665" t="b">
        <v>0</v>
      </c>
    </row>
    <row r="666" spans="1:15">
      <c r="A666">
        <v>665</v>
      </c>
      <c r="B666" s="1">
        <v>45337.982442129629</v>
      </c>
      <c r="C666" s="2">
        <v>45338.579167442127</v>
      </c>
      <c r="D666" s="2">
        <v>45340.859395717591</v>
      </c>
      <c r="E666" t="s">
        <v>11</v>
      </c>
      <c r="F666" t="s">
        <v>2</v>
      </c>
      <c r="G666" t="s">
        <v>17</v>
      </c>
      <c r="H666">
        <v>3</v>
      </c>
      <c r="I666">
        <v>3</v>
      </c>
      <c r="J666" t="s">
        <v>39</v>
      </c>
      <c r="K666" t="s">
        <v>46</v>
      </c>
      <c r="L666" t="s">
        <v>171</v>
      </c>
      <c r="M666" t="s">
        <v>764</v>
      </c>
      <c r="N666" t="b">
        <v>1</v>
      </c>
      <c r="O666" t="b">
        <v>0</v>
      </c>
    </row>
    <row r="667" spans="1:15">
      <c r="A667">
        <v>666</v>
      </c>
      <c r="B667" s="1">
        <v>45338.06658564815</v>
      </c>
      <c r="C667" s="2">
        <v>45338.589623692133</v>
      </c>
      <c r="D667" s="2">
        <v>45340.958184236108</v>
      </c>
      <c r="E667" t="s">
        <v>11</v>
      </c>
      <c r="F667" t="s">
        <v>2</v>
      </c>
      <c r="G667" t="s">
        <v>17</v>
      </c>
      <c r="H667">
        <v>4</v>
      </c>
      <c r="I667">
        <v>8</v>
      </c>
      <c r="J667" t="s">
        <v>39</v>
      </c>
      <c r="K667" t="s">
        <v>40</v>
      </c>
      <c r="L667" t="s">
        <v>41</v>
      </c>
      <c r="M667" t="s">
        <v>765</v>
      </c>
      <c r="N667" t="b">
        <v>1</v>
      </c>
      <c r="O667" t="b">
        <v>0</v>
      </c>
    </row>
    <row r="668" spans="1:15">
      <c r="A668">
        <v>667</v>
      </c>
      <c r="B668" s="1">
        <v>45338.090601851851</v>
      </c>
      <c r="C668" s="2">
        <v>45338.779910694444</v>
      </c>
      <c r="D668" s="2">
        <v>45340.592944467593</v>
      </c>
      <c r="E668" t="s">
        <v>11</v>
      </c>
      <c r="F668" t="s">
        <v>4</v>
      </c>
      <c r="G668" t="s">
        <v>17</v>
      </c>
      <c r="H668">
        <v>6</v>
      </c>
      <c r="I668">
        <v>2</v>
      </c>
      <c r="J668" t="s">
        <v>68</v>
      </c>
      <c r="K668" t="s">
        <v>73</v>
      </c>
      <c r="L668" t="s">
        <v>138</v>
      </c>
      <c r="M668" t="s">
        <v>766</v>
      </c>
      <c r="N668" t="b">
        <v>0</v>
      </c>
      <c r="O668" t="b">
        <v>0</v>
      </c>
    </row>
    <row r="669" spans="1:15">
      <c r="A669">
        <v>668</v>
      </c>
      <c r="B669" s="1">
        <v>45338.30259259259</v>
      </c>
      <c r="C669" s="2">
        <v>45338.432560590278</v>
      </c>
      <c r="D669" s="2">
        <v>45339.258740104167</v>
      </c>
      <c r="E669" t="s">
        <v>10</v>
      </c>
      <c r="F669" t="s">
        <v>4</v>
      </c>
      <c r="G669" t="s">
        <v>17</v>
      </c>
      <c r="H669">
        <v>7</v>
      </c>
      <c r="I669">
        <v>5</v>
      </c>
      <c r="J669" t="s">
        <v>49</v>
      </c>
      <c r="K669" t="s">
        <v>43</v>
      </c>
      <c r="L669" t="s">
        <v>98</v>
      </c>
      <c r="M669" t="s">
        <v>767</v>
      </c>
      <c r="N669" t="b">
        <v>1</v>
      </c>
      <c r="O669" t="b">
        <v>0</v>
      </c>
    </row>
    <row r="670" spans="1:15">
      <c r="A670">
        <v>669</v>
      </c>
      <c r="B670" s="1">
        <v>45338.315925925926</v>
      </c>
      <c r="C670" s="2">
        <v>45338.444805243053</v>
      </c>
      <c r="D670" s="2">
        <v>45338.600459166664</v>
      </c>
      <c r="E670" t="s">
        <v>10</v>
      </c>
      <c r="F670" t="s">
        <v>4</v>
      </c>
      <c r="G670" t="s">
        <v>15</v>
      </c>
      <c r="H670">
        <v>7</v>
      </c>
      <c r="I670">
        <v>5</v>
      </c>
      <c r="J670" t="s">
        <v>31</v>
      </c>
      <c r="K670" t="s">
        <v>43</v>
      </c>
      <c r="L670" t="s">
        <v>131</v>
      </c>
      <c r="M670" t="s">
        <v>768</v>
      </c>
      <c r="N670" t="b">
        <v>0</v>
      </c>
      <c r="O670" t="b">
        <v>0</v>
      </c>
    </row>
    <row r="671" spans="1:15">
      <c r="A671">
        <v>670</v>
      </c>
      <c r="B671" s="1">
        <v>45338.412685185183</v>
      </c>
      <c r="C671" s="2">
        <v>45339.004437164353</v>
      </c>
      <c r="D671" s="2">
        <v>45340.275291284721</v>
      </c>
      <c r="E671" t="s">
        <v>11</v>
      </c>
      <c r="F671" t="s">
        <v>4</v>
      </c>
      <c r="G671" t="s">
        <v>15</v>
      </c>
      <c r="H671">
        <v>7</v>
      </c>
      <c r="I671">
        <v>10</v>
      </c>
      <c r="J671" t="s">
        <v>68</v>
      </c>
      <c r="K671" t="s">
        <v>43</v>
      </c>
      <c r="L671" t="s">
        <v>41</v>
      </c>
      <c r="M671" t="s">
        <v>769</v>
      </c>
      <c r="N671" t="b">
        <v>0</v>
      </c>
      <c r="O671" t="b">
        <v>0</v>
      </c>
    </row>
    <row r="672" spans="1:15">
      <c r="A672">
        <v>671</v>
      </c>
      <c r="B672" s="1">
        <v>45338.461168981485</v>
      </c>
      <c r="C672" s="2">
        <v>45338.4871905787</v>
      </c>
      <c r="D672" s="2">
        <v>45338.753565902778</v>
      </c>
      <c r="E672" t="s">
        <v>9</v>
      </c>
      <c r="F672" t="s">
        <v>4</v>
      </c>
      <c r="G672" t="s">
        <v>17</v>
      </c>
      <c r="H672">
        <v>1</v>
      </c>
      <c r="I672">
        <v>2</v>
      </c>
      <c r="J672" t="s">
        <v>49</v>
      </c>
      <c r="K672" t="s">
        <v>71</v>
      </c>
      <c r="L672" t="s">
        <v>50</v>
      </c>
      <c r="M672" t="s">
        <v>770</v>
      </c>
      <c r="N672" t="b">
        <v>0</v>
      </c>
      <c r="O672" t="b">
        <v>0</v>
      </c>
    </row>
    <row r="673" spans="1:15">
      <c r="A673">
        <v>672</v>
      </c>
      <c r="B673" s="1">
        <v>45338.727256944447</v>
      </c>
      <c r="C673" s="2">
        <v>45338.99295284722</v>
      </c>
      <c r="D673" s="2">
        <v>45339.394938935184</v>
      </c>
      <c r="E673" t="s">
        <v>10</v>
      </c>
      <c r="F673" t="s">
        <v>4</v>
      </c>
      <c r="G673" t="s">
        <v>17</v>
      </c>
      <c r="H673">
        <v>1</v>
      </c>
      <c r="I673">
        <v>9</v>
      </c>
      <c r="J673" t="s">
        <v>52</v>
      </c>
      <c r="K673" t="s">
        <v>71</v>
      </c>
      <c r="L673" t="s">
        <v>60</v>
      </c>
      <c r="M673" t="s">
        <v>771</v>
      </c>
      <c r="N673" t="b">
        <v>0</v>
      </c>
      <c r="O673" t="b">
        <v>0</v>
      </c>
    </row>
    <row r="674" spans="1:15">
      <c r="A674">
        <v>673</v>
      </c>
      <c r="B674" s="1">
        <v>45338.763784722221</v>
      </c>
      <c r="C674" s="2">
        <v>45338.904837557871</v>
      </c>
      <c r="D674" s="2">
        <v>45339.328613437501</v>
      </c>
      <c r="E674" t="s">
        <v>10</v>
      </c>
      <c r="F674" t="s">
        <v>4</v>
      </c>
      <c r="G674" t="s">
        <v>15</v>
      </c>
      <c r="H674">
        <v>7</v>
      </c>
      <c r="I674">
        <v>7</v>
      </c>
      <c r="J674" t="s">
        <v>31</v>
      </c>
      <c r="K674" t="s">
        <v>43</v>
      </c>
      <c r="L674" t="s">
        <v>276</v>
      </c>
      <c r="M674" t="s">
        <v>772</v>
      </c>
      <c r="N674" t="b">
        <v>0</v>
      </c>
      <c r="O674" t="b">
        <v>0</v>
      </c>
    </row>
    <row r="675" spans="1:15">
      <c r="A675">
        <v>674</v>
      </c>
      <c r="B675" s="1">
        <v>45339.02065972222</v>
      </c>
      <c r="C675" s="2">
        <v>45339.044784166668</v>
      </c>
      <c r="D675" s="2">
        <v>45339.222196979164</v>
      </c>
      <c r="E675" t="s">
        <v>9</v>
      </c>
      <c r="F675" t="s">
        <v>4</v>
      </c>
      <c r="G675" t="s">
        <v>16</v>
      </c>
      <c r="H675">
        <v>8</v>
      </c>
      <c r="I675">
        <v>8</v>
      </c>
      <c r="J675" t="s">
        <v>49</v>
      </c>
      <c r="K675" t="s">
        <v>36</v>
      </c>
      <c r="L675" t="s">
        <v>213</v>
      </c>
      <c r="M675" t="s">
        <v>773</v>
      </c>
      <c r="N675" t="b">
        <v>0</v>
      </c>
      <c r="O675" t="b">
        <v>0</v>
      </c>
    </row>
    <row r="676" spans="1:15">
      <c r="A676">
        <v>675</v>
      </c>
      <c r="B676" s="1">
        <v>45339.025127314817</v>
      </c>
      <c r="C676" s="2">
        <v>45339.097925636575</v>
      </c>
      <c r="D676" s="2">
        <v>45339.175070613426</v>
      </c>
      <c r="E676" t="s">
        <v>9</v>
      </c>
      <c r="F676" t="s">
        <v>4</v>
      </c>
      <c r="G676" t="s">
        <v>15</v>
      </c>
      <c r="H676">
        <v>5</v>
      </c>
      <c r="I676">
        <v>8</v>
      </c>
      <c r="J676" t="s">
        <v>39</v>
      </c>
      <c r="K676" t="s">
        <v>32</v>
      </c>
      <c r="L676" t="s">
        <v>158</v>
      </c>
      <c r="M676" t="s">
        <v>774</v>
      </c>
      <c r="N676" t="b">
        <v>0</v>
      </c>
      <c r="O676" t="b">
        <v>0</v>
      </c>
    </row>
    <row r="677" spans="1:15">
      <c r="A677">
        <v>676</v>
      </c>
      <c r="B677" s="1">
        <v>45339.025381944448</v>
      </c>
      <c r="C677" s="2">
        <v>45339.32181346065</v>
      </c>
      <c r="D677" s="2">
        <v>45341.899173831021</v>
      </c>
      <c r="E677" t="s">
        <v>11</v>
      </c>
      <c r="F677" t="s">
        <v>4</v>
      </c>
      <c r="G677" t="s">
        <v>17</v>
      </c>
      <c r="H677">
        <v>8</v>
      </c>
      <c r="I677">
        <v>8</v>
      </c>
      <c r="J677" t="s">
        <v>35</v>
      </c>
      <c r="K677" t="s">
        <v>36</v>
      </c>
      <c r="L677" t="s">
        <v>113</v>
      </c>
      <c r="M677" t="s">
        <v>775</v>
      </c>
      <c r="N677" t="b">
        <v>1</v>
      </c>
      <c r="O677" t="b">
        <v>0</v>
      </c>
    </row>
    <row r="678" spans="1:15">
      <c r="A678">
        <v>677</v>
      </c>
      <c r="B678" s="1">
        <v>45339.215358796297</v>
      </c>
      <c r="C678" s="2">
        <v>45339.276961493058</v>
      </c>
      <c r="D678" s="2">
        <v>45339.26910380787</v>
      </c>
      <c r="E678" t="s">
        <v>8</v>
      </c>
      <c r="F678" t="s">
        <v>4</v>
      </c>
      <c r="G678" t="s">
        <v>17</v>
      </c>
      <c r="H678">
        <v>3</v>
      </c>
      <c r="I678">
        <v>5</v>
      </c>
      <c r="J678" t="s">
        <v>52</v>
      </c>
      <c r="K678" t="s">
        <v>46</v>
      </c>
      <c r="L678" t="s">
        <v>75</v>
      </c>
      <c r="M678" t="s">
        <v>776</v>
      </c>
      <c r="N678" t="b">
        <v>1</v>
      </c>
      <c r="O678" t="b">
        <v>0</v>
      </c>
    </row>
    <row r="679" spans="1:15">
      <c r="A679">
        <v>678</v>
      </c>
      <c r="B679" s="1">
        <v>45339.267858796295</v>
      </c>
      <c r="C679" s="2">
        <v>45340.068876006946</v>
      </c>
      <c r="D679" s="2">
        <v>45340.554222592589</v>
      </c>
      <c r="E679" t="s">
        <v>11</v>
      </c>
      <c r="F679" t="s">
        <v>2</v>
      </c>
      <c r="G679" t="s">
        <v>14</v>
      </c>
      <c r="H679">
        <v>3</v>
      </c>
      <c r="I679">
        <v>6</v>
      </c>
      <c r="J679" t="s">
        <v>49</v>
      </c>
      <c r="K679" t="s">
        <v>46</v>
      </c>
      <c r="L679" t="s">
        <v>250</v>
      </c>
      <c r="M679" t="s">
        <v>777</v>
      </c>
      <c r="N679" t="b">
        <v>0</v>
      </c>
      <c r="O679" t="b">
        <v>0</v>
      </c>
    </row>
    <row r="680" spans="1:15">
      <c r="A680">
        <v>679</v>
      </c>
      <c r="B680" s="1">
        <v>45339.323310185187</v>
      </c>
      <c r="C680" s="2">
        <v>45340.121850752315</v>
      </c>
      <c r="D680" s="2">
        <v>45340.970763773148</v>
      </c>
      <c r="E680" t="s">
        <v>11</v>
      </c>
      <c r="F680" t="s">
        <v>4</v>
      </c>
      <c r="G680" t="s">
        <v>17</v>
      </c>
      <c r="H680">
        <v>2</v>
      </c>
      <c r="I680">
        <v>4</v>
      </c>
      <c r="J680" t="s">
        <v>68</v>
      </c>
      <c r="K680" t="s">
        <v>57</v>
      </c>
      <c r="L680" t="s">
        <v>134</v>
      </c>
      <c r="M680" t="s">
        <v>778</v>
      </c>
      <c r="N680" t="b">
        <v>0</v>
      </c>
      <c r="O680" t="b">
        <v>0</v>
      </c>
    </row>
    <row r="681" spans="1:15">
      <c r="A681">
        <v>680</v>
      </c>
      <c r="B681" s="1">
        <v>45339.365810185183</v>
      </c>
      <c r="C681" s="2">
        <v>45339.531999004626</v>
      </c>
      <c r="D681" s="2">
        <v>45339.703548425925</v>
      </c>
      <c r="E681" t="s">
        <v>10</v>
      </c>
      <c r="F681" t="s">
        <v>4</v>
      </c>
      <c r="G681" t="s">
        <v>15</v>
      </c>
      <c r="H681">
        <v>7</v>
      </c>
      <c r="I681">
        <v>10</v>
      </c>
      <c r="J681" t="s">
        <v>68</v>
      </c>
      <c r="K681" t="s">
        <v>43</v>
      </c>
      <c r="L681" t="s">
        <v>250</v>
      </c>
      <c r="M681" t="s">
        <v>779</v>
      </c>
      <c r="N681" t="b">
        <v>0</v>
      </c>
      <c r="O681" t="b">
        <v>0</v>
      </c>
    </row>
    <row r="682" spans="1:15">
      <c r="A682">
        <v>681</v>
      </c>
      <c r="B682" s="1">
        <v>45339.397048611114</v>
      </c>
      <c r="C682" s="2">
        <v>45339.634070011576</v>
      </c>
      <c r="D682" s="2">
        <v>45339.656901377311</v>
      </c>
      <c r="E682" t="s">
        <v>10</v>
      </c>
      <c r="F682" t="s">
        <v>4</v>
      </c>
      <c r="G682" t="s">
        <v>15</v>
      </c>
      <c r="H682">
        <v>6</v>
      </c>
      <c r="I682">
        <v>3</v>
      </c>
      <c r="J682" t="s">
        <v>49</v>
      </c>
      <c r="K682" t="s">
        <v>73</v>
      </c>
      <c r="L682" t="s">
        <v>66</v>
      </c>
      <c r="M682" t="s">
        <v>780</v>
      </c>
      <c r="N682" t="b">
        <v>0</v>
      </c>
      <c r="O682" t="b">
        <v>0</v>
      </c>
    </row>
    <row r="683" spans="1:15">
      <c r="A683">
        <v>682</v>
      </c>
      <c r="B683" s="1">
        <v>45339.528402777774</v>
      </c>
      <c r="C683" s="2">
        <v>45339.55531974537</v>
      </c>
      <c r="D683" s="2">
        <v>45339.591198101851</v>
      </c>
      <c r="E683" t="s">
        <v>8</v>
      </c>
      <c r="F683" t="s">
        <v>4</v>
      </c>
      <c r="G683" t="s">
        <v>15</v>
      </c>
      <c r="H683">
        <v>2</v>
      </c>
      <c r="I683">
        <v>6</v>
      </c>
      <c r="J683" t="s">
        <v>68</v>
      </c>
      <c r="K683" t="s">
        <v>57</v>
      </c>
      <c r="L683" t="s">
        <v>64</v>
      </c>
      <c r="M683" t="s">
        <v>781</v>
      </c>
      <c r="N683" t="b">
        <v>1</v>
      </c>
      <c r="O683" t="b">
        <v>0</v>
      </c>
    </row>
    <row r="684" spans="1:15">
      <c r="A684">
        <v>683</v>
      </c>
      <c r="B684" s="1">
        <v>45339.693993055553</v>
      </c>
      <c r="C684" s="2">
        <v>45339.821684456016</v>
      </c>
      <c r="D684" s="2">
        <v>45342.076299201392</v>
      </c>
      <c r="E684" t="s">
        <v>11</v>
      </c>
      <c r="F684" t="s">
        <v>4</v>
      </c>
      <c r="G684" t="s">
        <v>15</v>
      </c>
      <c r="H684">
        <v>8</v>
      </c>
      <c r="I684">
        <v>3</v>
      </c>
      <c r="J684" t="s">
        <v>52</v>
      </c>
      <c r="K684" t="s">
        <v>36</v>
      </c>
      <c r="L684" t="s">
        <v>192</v>
      </c>
      <c r="M684" t="s">
        <v>782</v>
      </c>
      <c r="N684" t="b">
        <v>0</v>
      </c>
      <c r="O684" t="b">
        <v>0</v>
      </c>
    </row>
    <row r="685" spans="1:15">
      <c r="A685">
        <v>684</v>
      </c>
      <c r="B685" s="1">
        <v>45339.828217592592</v>
      </c>
      <c r="C685" s="2">
        <v>45339.891731145835</v>
      </c>
      <c r="D685" s="2">
        <v>45340.007042303238</v>
      </c>
      <c r="E685" t="s">
        <v>9</v>
      </c>
      <c r="F685" t="s">
        <v>4</v>
      </c>
      <c r="G685" t="s">
        <v>17</v>
      </c>
      <c r="H685">
        <v>1</v>
      </c>
      <c r="I685">
        <v>4</v>
      </c>
      <c r="J685" t="s">
        <v>52</v>
      </c>
      <c r="K685" t="s">
        <v>71</v>
      </c>
      <c r="L685" t="s">
        <v>171</v>
      </c>
      <c r="M685" t="s">
        <v>783</v>
      </c>
      <c r="N685" t="b">
        <v>0</v>
      </c>
      <c r="O685" t="b">
        <v>0</v>
      </c>
    </row>
    <row r="686" spans="1:15">
      <c r="A686">
        <v>685</v>
      </c>
      <c r="B686" s="1">
        <v>45339.930821759262</v>
      </c>
      <c r="C686" s="2">
        <v>45340.145600127318</v>
      </c>
      <c r="D686" s="2">
        <v>45340.427313217595</v>
      </c>
      <c r="E686" t="s">
        <v>10</v>
      </c>
      <c r="F686" t="s">
        <v>4</v>
      </c>
      <c r="G686" t="s">
        <v>17</v>
      </c>
      <c r="H686">
        <v>7</v>
      </c>
      <c r="I686">
        <v>10</v>
      </c>
      <c r="J686" t="s">
        <v>35</v>
      </c>
      <c r="K686" t="s">
        <v>43</v>
      </c>
      <c r="L686" t="s">
        <v>64</v>
      </c>
      <c r="M686" t="s">
        <v>784</v>
      </c>
      <c r="N686" t="b">
        <v>0</v>
      </c>
      <c r="O686" t="b">
        <v>0</v>
      </c>
    </row>
    <row r="687" spans="1:15">
      <c r="A687">
        <v>686</v>
      </c>
      <c r="B687" s="1">
        <v>45339.939976851849</v>
      </c>
      <c r="C687" s="2">
        <v>45340.032706319442</v>
      </c>
      <c r="D687" s="2">
        <v>45342.555484085649</v>
      </c>
      <c r="E687" t="s">
        <v>11</v>
      </c>
      <c r="F687" t="s">
        <v>4</v>
      </c>
      <c r="G687" t="s">
        <v>15</v>
      </c>
      <c r="H687">
        <v>2</v>
      </c>
      <c r="I687">
        <v>2</v>
      </c>
      <c r="J687" t="s">
        <v>68</v>
      </c>
      <c r="K687" t="s">
        <v>57</v>
      </c>
      <c r="L687" t="s">
        <v>284</v>
      </c>
      <c r="M687" t="s">
        <v>785</v>
      </c>
      <c r="N687" t="b">
        <v>0</v>
      </c>
      <c r="O687" t="b">
        <v>0</v>
      </c>
    </row>
    <row r="688" spans="1:15">
      <c r="A688">
        <v>687</v>
      </c>
      <c r="B688" s="1">
        <v>45339.983344907407</v>
      </c>
      <c r="C688" s="2">
        <v>45340.273129930552</v>
      </c>
      <c r="D688" s="2">
        <v>45340.325205983798</v>
      </c>
      <c r="E688" t="s">
        <v>10</v>
      </c>
      <c r="F688" t="s">
        <v>4</v>
      </c>
      <c r="G688" t="s">
        <v>14</v>
      </c>
      <c r="H688">
        <v>7</v>
      </c>
      <c r="I688">
        <v>9</v>
      </c>
      <c r="J688" t="s">
        <v>31</v>
      </c>
      <c r="K688" t="s">
        <v>43</v>
      </c>
      <c r="L688" t="s">
        <v>91</v>
      </c>
      <c r="M688" t="s">
        <v>786</v>
      </c>
      <c r="N688" t="b">
        <v>0</v>
      </c>
      <c r="O688" t="b">
        <v>0</v>
      </c>
    </row>
    <row r="689" spans="1:15">
      <c r="A689">
        <v>688</v>
      </c>
      <c r="B689" s="1">
        <v>45340.172754629632</v>
      </c>
      <c r="C689" s="2">
        <v>45340.388559108796</v>
      </c>
      <c r="D689" s="2">
        <v>45340.893472418982</v>
      </c>
      <c r="E689" t="s">
        <v>10</v>
      </c>
      <c r="F689" t="s">
        <v>4</v>
      </c>
      <c r="G689" t="s">
        <v>15</v>
      </c>
      <c r="H689">
        <v>4</v>
      </c>
      <c r="I689">
        <v>9</v>
      </c>
      <c r="J689" t="s">
        <v>35</v>
      </c>
      <c r="K689" t="s">
        <v>40</v>
      </c>
      <c r="L689" t="s">
        <v>284</v>
      </c>
      <c r="M689" t="s">
        <v>787</v>
      </c>
      <c r="N689" t="b">
        <v>0</v>
      </c>
      <c r="O689" t="b">
        <v>0</v>
      </c>
    </row>
    <row r="690" spans="1:15">
      <c r="A690">
        <v>689</v>
      </c>
      <c r="B690" s="1">
        <v>45340.329027777778</v>
      </c>
      <c r="C690" s="2">
        <v>45340.951831307873</v>
      </c>
      <c r="D690" s="2">
        <v>45341.697524768519</v>
      </c>
      <c r="E690" t="s">
        <v>11</v>
      </c>
      <c r="F690" t="s">
        <v>4</v>
      </c>
      <c r="G690" t="s">
        <v>16</v>
      </c>
      <c r="H690">
        <v>2</v>
      </c>
      <c r="I690">
        <v>4</v>
      </c>
      <c r="J690" t="s">
        <v>68</v>
      </c>
      <c r="K690" t="s">
        <v>57</v>
      </c>
      <c r="L690" t="s">
        <v>192</v>
      </c>
      <c r="M690" t="s">
        <v>788</v>
      </c>
      <c r="N690" t="b">
        <v>0</v>
      </c>
      <c r="O690" t="b">
        <v>0</v>
      </c>
    </row>
    <row r="691" spans="1:15">
      <c r="A691">
        <v>690</v>
      </c>
      <c r="B691" s="1">
        <v>45340.335486111115</v>
      </c>
      <c r="C691" s="2">
        <v>45340.379068796297</v>
      </c>
      <c r="D691" s="2">
        <v>45340.471610636574</v>
      </c>
      <c r="E691" t="s">
        <v>9</v>
      </c>
      <c r="F691" t="s">
        <v>4</v>
      </c>
      <c r="G691" t="s">
        <v>17</v>
      </c>
      <c r="H691">
        <v>1</v>
      </c>
      <c r="I691">
        <v>4</v>
      </c>
      <c r="J691" t="s">
        <v>49</v>
      </c>
      <c r="K691" t="s">
        <v>71</v>
      </c>
      <c r="L691" t="s">
        <v>47</v>
      </c>
      <c r="M691" t="s">
        <v>789</v>
      </c>
      <c r="N691" t="b">
        <v>0</v>
      </c>
      <c r="O691" t="b">
        <v>0</v>
      </c>
    </row>
    <row r="692" spans="1:15">
      <c r="A692">
        <v>691</v>
      </c>
      <c r="B692" s="1">
        <v>45340.417997685188</v>
      </c>
      <c r="C692" s="2">
        <v>45340.44919053241</v>
      </c>
      <c r="D692" s="2">
        <v>45340.561771944442</v>
      </c>
      <c r="E692" t="s">
        <v>9</v>
      </c>
      <c r="F692" t="s">
        <v>4</v>
      </c>
      <c r="G692" t="s">
        <v>17</v>
      </c>
      <c r="H692">
        <v>5</v>
      </c>
      <c r="I692">
        <v>1</v>
      </c>
      <c r="J692" t="s">
        <v>49</v>
      </c>
      <c r="K692" t="s">
        <v>32</v>
      </c>
      <c r="L692" t="s">
        <v>276</v>
      </c>
      <c r="M692" t="s">
        <v>790</v>
      </c>
      <c r="N692" t="b">
        <v>0</v>
      </c>
      <c r="O692" t="b">
        <v>0</v>
      </c>
    </row>
    <row r="693" spans="1:15">
      <c r="A693">
        <v>692</v>
      </c>
      <c r="B693" s="1">
        <v>45340.540231481478</v>
      </c>
      <c r="C693" s="2">
        <v>45340.667148831017</v>
      </c>
      <c r="D693" s="2">
        <v>45340.850724837961</v>
      </c>
      <c r="E693" t="s">
        <v>10</v>
      </c>
      <c r="F693" t="s">
        <v>2</v>
      </c>
      <c r="G693" t="s">
        <v>15</v>
      </c>
      <c r="H693">
        <v>2</v>
      </c>
      <c r="I693">
        <v>8</v>
      </c>
      <c r="J693" t="s">
        <v>52</v>
      </c>
      <c r="K693" t="s">
        <v>57</v>
      </c>
      <c r="L693" t="s">
        <v>55</v>
      </c>
      <c r="M693" t="s">
        <v>791</v>
      </c>
      <c r="N693" t="b">
        <v>0</v>
      </c>
      <c r="O693" t="b">
        <v>0</v>
      </c>
    </row>
    <row r="694" spans="1:15">
      <c r="A694">
        <v>693</v>
      </c>
      <c r="B694" s="1">
        <v>45340.619039351855</v>
      </c>
      <c r="C694" s="2">
        <v>45341.150299895831</v>
      </c>
      <c r="D694" s="2">
        <v>45342.80928523148</v>
      </c>
      <c r="E694" t="s">
        <v>11</v>
      </c>
      <c r="F694" t="s">
        <v>4</v>
      </c>
      <c r="G694" t="s">
        <v>17</v>
      </c>
      <c r="H694">
        <v>4</v>
      </c>
      <c r="I694">
        <v>7</v>
      </c>
      <c r="J694" t="s">
        <v>49</v>
      </c>
      <c r="K694" t="s">
        <v>40</v>
      </c>
      <c r="L694" t="s">
        <v>47</v>
      </c>
      <c r="M694" t="s">
        <v>792</v>
      </c>
      <c r="N694" t="b">
        <v>0</v>
      </c>
      <c r="O694" t="b">
        <v>0</v>
      </c>
    </row>
    <row r="695" spans="1:15">
      <c r="A695">
        <v>694</v>
      </c>
      <c r="B695" s="1">
        <v>45340.666412037041</v>
      </c>
      <c r="C695" s="2">
        <v>45340.955022662034</v>
      </c>
      <c r="D695" s="2">
        <v>45341.598271481482</v>
      </c>
      <c r="E695" t="s">
        <v>11</v>
      </c>
      <c r="F695" t="s">
        <v>4</v>
      </c>
      <c r="G695" t="s">
        <v>17</v>
      </c>
      <c r="H695">
        <v>8</v>
      </c>
      <c r="I695">
        <v>10</v>
      </c>
      <c r="J695" t="s">
        <v>31</v>
      </c>
      <c r="K695" t="s">
        <v>36</v>
      </c>
      <c r="L695" t="s">
        <v>75</v>
      </c>
      <c r="M695" t="s">
        <v>793</v>
      </c>
      <c r="N695" t="b">
        <v>0</v>
      </c>
      <c r="O695" t="b">
        <v>0</v>
      </c>
    </row>
    <row r="696" spans="1:15">
      <c r="A696">
        <v>695</v>
      </c>
      <c r="B696" s="1">
        <v>45340.677557870367</v>
      </c>
      <c r="C696" s="2">
        <v>45341.186069421296</v>
      </c>
      <c r="D696" s="2">
        <v>45342.05048150463</v>
      </c>
      <c r="E696" t="s">
        <v>11</v>
      </c>
      <c r="F696" t="s">
        <v>2</v>
      </c>
      <c r="G696" t="s">
        <v>16</v>
      </c>
      <c r="H696">
        <v>8</v>
      </c>
      <c r="I696">
        <v>3</v>
      </c>
      <c r="J696" t="s">
        <v>39</v>
      </c>
      <c r="K696" t="s">
        <v>36</v>
      </c>
      <c r="L696" t="s">
        <v>213</v>
      </c>
      <c r="M696" t="s">
        <v>794</v>
      </c>
      <c r="N696" t="b">
        <v>0</v>
      </c>
      <c r="O696" t="b">
        <v>0</v>
      </c>
    </row>
    <row r="697" spans="1:15">
      <c r="A697">
        <v>696</v>
      </c>
      <c r="B697" s="1">
        <v>45340.678726851853</v>
      </c>
      <c r="C697" s="2">
        <v>45341.101657581021</v>
      </c>
      <c r="D697" s="2">
        <v>45342.671299490743</v>
      </c>
      <c r="E697" t="s">
        <v>11</v>
      </c>
      <c r="F697" t="s">
        <v>4</v>
      </c>
      <c r="G697" t="s">
        <v>15</v>
      </c>
      <c r="H697">
        <v>4</v>
      </c>
      <c r="I697">
        <v>4</v>
      </c>
      <c r="J697" t="s">
        <v>35</v>
      </c>
      <c r="K697" t="s">
        <v>40</v>
      </c>
      <c r="L697" t="s">
        <v>253</v>
      </c>
      <c r="M697" t="s">
        <v>795</v>
      </c>
      <c r="N697" t="b">
        <v>0</v>
      </c>
      <c r="O697" t="b">
        <v>0</v>
      </c>
    </row>
    <row r="698" spans="1:15">
      <c r="A698">
        <v>697</v>
      </c>
      <c r="B698" s="1">
        <v>45340.691006944442</v>
      </c>
      <c r="C698" s="2">
        <v>45340.733382881946</v>
      </c>
      <c r="D698" s="2">
        <v>45340.764395625003</v>
      </c>
      <c r="E698" t="s">
        <v>8</v>
      </c>
      <c r="F698" t="s">
        <v>4</v>
      </c>
      <c r="G698" t="s">
        <v>17</v>
      </c>
      <c r="H698">
        <v>6</v>
      </c>
      <c r="I698">
        <v>7</v>
      </c>
      <c r="J698" t="s">
        <v>49</v>
      </c>
      <c r="K698" t="s">
        <v>73</v>
      </c>
      <c r="L698" t="s">
        <v>310</v>
      </c>
      <c r="M698" t="s">
        <v>796</v>
      </c>
      <c r="N698" t="b">
        <v>1</v>
      </c>
      <c r="O698" t="b">
        <v>0</v>
      </c>
    </row>
    <row r="699" spans="1:15">
      <c r="A699">
        <v>698</v>
      </c>
      <c r="B699" s="1">
        <v>45340.723634259259</v>
      </c>
      <c r="C699" s="2">
        <v>45340.90093314815</v>
      </c>
      <c r="D699" s="2">
        <v>45341.030989548613</v>
      </c>
      <c r="E699" t="s">
        <v>10</v>
      </c>
      <c r="F699" t="s">
        <v>4</v>
      </c>
      <c r="G699" t="s">
        <v>14</v>
      </c>
      <c r="H699">
        <v>7</v>
      </c>
      <c r="I699">
        <v>4</v>
      </c>
      <c r="J699" t="s">
        <v>31</v>
      </c>
      <c r="K699" t="s">
        <v>43</v>
      </c>
      <c r="L699" t="s">
        <v>188</v>
      </c>
      <c r="M699" t="s">
        <v>797</v>
      </c>
      <c r="N699" t="b">
        <v>0</v>
      </c>
      <c r="O699" t="b">
        <v>0</v>
      </c>
    </row>
    <row r="700" spans="1:15">
      <c r="A700">
        <v>699</v>
      </c>
      <c r="B700" s="1">
        <v>45340.914039351854</v>
      </c>
      <c r="C700" s="2">
        <v>45340.959820983793</v>
      </c>
      <c r="D700" s="2">
        <v>45341.209316562497</v>
      </c>
      <c r="E700" t="s">
        <v>9</v>
      </c>
      <c r="F700" t="s">
        <v>4</v>
      </c>
      <c r="G700" t="s">
        <v>17</v>
      </c>
      <c r="H700">
        <v>5</v>
      </c>
      <c r="I700">
        <v>4</v>
      </c>
      <c r="J700" t="s">
        <v>68</v>
      </c>
      <c r="K700" t="s">
        <v>32</v>
      </c>
      <c r="L700" t="s">
        <v>171</v>
      </c>
      <c r="M700" t="s">
        <v>798</v>
      </c>
      <c r="N700" t="b">
        <v>0</v>
      </c>
      <c r="O700" t="b">
        <v>0</v>
      </c>
    </row>
    <row r="701" spans="1:15">
      <c r="A701">
        <v>700</v>
      </c>
      <c r="B701" s="1">
        <v>45340.91746527778</v>
      </c>
      <c r="C701" s="2">
        <v>45341.09245783565</v>
      </c>
      <c r="D701" s="2">
        <v>45342.080689120368</v>
      </c>
      <c r="E701" t="s">
        <v>11</v>
      </c>
      <c r="F701" t="s">
        <v>4</v>
      </c>
      <c r="G701" t="s">
        <v>17</v>
      </c>
      <c r="H701">
        <v>2</v>
      </c>
      <c r="I701">
        <v>2</v>
      </c>
      <c r="J701" t="s">
        <v>39</v>
      </c>
      <c r="K701" t="s">
        <v>57</v>
      </c>
      <c r="L701" t="s">
        <v>66</v>
      </c>
      <c r="M701" t="s">
        <v>799</v>
      </c>
      <c r="N701" t="b">
        <v>0</v>
      </c>
      <c r="O701" t="b">
        <v>0</v>
      </c>
    </row>
    <row r="702" spans="1:15">
      <c r="A702">
        <v>701</v>
      </c>
      <c r="B702" s="1">
        <v>45341.057233796295</v>
      </c>
      <c r="C702" s="2">
        <v>45341.300838912037</v>
      </c>
      <c r="D702" s="2">
        <v>45341.889311180559</v>
      </c>
      <c r="E702" t="s">
        <v>11</v>
      </c>
      <c r="F702" t="s">
        <v>4</v>
      </c>
      <c r="G702" t="s">
        <v>16</v>
      </c>
      <c r="H702">
        <v>7</v>
      </c>
      <c r="I702">
        <v>10</v>
      </c>
      <c r="J702" t="s">
        <v>52</v>
      </c>
      <c r="K702" t="s">
        <v>43</v>
      </c>
      <c r="L702" t="s">
        <v>75</v>
      </c>
      <c r="M702" t="s">
        <v>800</v>
      </c>
      <c r="N702" t="b">
        <v>0</v>
      </c>
      <c r="O702" t="b">
        <v>0</v>
      </c>
    </row>
    <row r="703" spans="1:15">
      <c r="A703">
        <v>702</v>
      </c>
      <c r="B703" s="1">
        <v>45341.104398148149</v>
      </c>
      <c r="C703" s="2">
        <v>45341.213738900464</v>
      </c>
      <c r="D703" s="2">
        <v>45341.410889687497</v>
      </c>
      <c r="E703" t="s">
        <v>10</v>
      </c>
      <c r="F703" t="s">
        <v>4</v>
      </c>
      <c r="G703" t="s">
        <v>17</v>
      </c>
      <c r="H703">
        <v>1</v>
      </c>
      <c r="I703">
        <v>5</v>
      </c>
      <c r="J703" t="s">
        <v>68</v>
      </c>
      <c r="K703" t="s">
        <v>71</v>
      </c>
      <c r="L703" t="s">
        <v>87</v>
      </c>
      <c r="M703" t="s">
        <v>801</v>
      </c>
      <c r="N703" t="b">
        <v>0</v>
      </c>
      <c r="O703" t="b">
        <v>0</v>
      </c>
    </row>
    <row r="704" spans="1:15">
      <c r="A704">
        <v>703</v>
      </c>
      <c r="B704" s="1">
        <v>45341.226805555554</v>
      </c>
      <c r="C704" s="2">
        <v>45341.707644131944</v>
      </c>
      <c r="D704" s="2">
        <v>45343.982802280094</v>
      </c>
      <c r="E704" t="s">
        <v>11</v>
      </c>
      <c r="F704" t="s">
        <v>4</v>
      </c>
      <c r="G704" t="s">
        <v>15</v>
      </c>
      <c r="H704">
        <v>5</v>
      </c>
      <c r="I704">
        <v>8</v>
      </c>
      <c r="J704" t="s">
        <v>35</v>
      </c>
      <c r="K704" t="s">
        <v>32</v>
      </c>
      <c r="L704" t="s">
        <v>113</v>
      </c>
      <c r="M704" t="s">
        <v>802</v>
      </c>
      <c r="N704" t="b">
        <v>1</v>
      </c>
      <c r="O704" t="b">
        <v>0</v>
      </c>
    </row>
    <row r="705" spans="1:15">
      <c r="A705">
        <v>704</v>
      </c>
      <c r="B705" s="1">
        <v>45341.253935185188</v>
      </c>
      <c r="C705" s="2">
        <v>45341.582576608795</v>
      </c>
      <c r="D705" s="2">
        <v>45341.757457708336</v>
      </c>
      <c r="E705" t="s">
        <v>10</v>
      </c>
      <c r="F705" t="s">
        <v>4</v>
      </c>
      <c r="G705" t="s">
        <v>16</v>
      </c>
      <c r="H705">
        <v>7</v>
      </c>
      <c r="I705">
        <v>7</v>
      </c>
      <c r="J705" t="s">
        <v>39</v>
      </c>
      <c r="K705" t="s">
        <v>43</v>
      </c>
      <c r="L705" t="s">
        <v>64</v>
      </c>
      <c r="M705" t="s">
        <v>803</v>
      </c>
      <c r="N705" t="b">
        <v>0</v>
      </c>
      <c r="O705" t="b">
        <v>0</v>
      </c>
    </row>
    <row r="706" spans="1:15">
      <c r="A706">
        <v>705</v>
      </c>
      <c r="B706" s="1">
        <v>45341.281678240739</v>
      </c>
      <c r="C706" s="2">
        <v>45341.405818425927</v>
      </c>
      <c r="D706" s="2">
        <v>45341.57306934028</v>
      </c>
      <c r="E706" t="s">
        <v>9</v>
      </c>
      <c r="F706" t="s">
        <v>4</v>
      </c>
      <c r="G706" t="s">
        <v>15</v>
      </c>
      <c r="H706">
        <v>5</v>
      </c>
      <c r="I706">
        <v>6</v>
      </c>
      <c r="J706" t="s">
        <v>35</v>
      </c>
      <c r="K706" t="s">
        <v>32</v>
      </c>
      <c r="L706" t="s">
        <v>284</v>
      </c>
      <c r="M706" t="s">
        <v>804</v>
      </c>
      <c r="N706" t="b">
        <v>0</v>
      </c>
      <c r="O706" t="b">
        <v>0</v>
      </c>
    </row>
    <row r="707" spans="1:15">
      <c r="A707">
        <v>706</v>
      </c>
      <c r="B707" s="1">
        <v>45341.361250000002</v>
      </c>
      <c r="C707" s="2">
        <v>45341.659621238425</v>
      </c>
      <c r="D707" s="2">
        <v>45341.674537175924</v>
      </c>
      <c r="E707" t="s">
        <v>10</v>
      </c>
      <c r="F707" t="s">
        <v>4</v>
      </c>
      <c r="G707" t="s">
        <v>14</v>
      </c>
      <c r="H707">
        <v>3</v>
      </c>
      <c r="I707">
        <v>4</v>
      </c>
      <c r="J707" t="s">
        <v>68</v>
      </c>
      <c r="K707" t="s">
        <v>46</v>
      </c>
      <c r="L707" t="s">
        <v>44</v>
      </c>
      <c r="M707" t="s">
        <v>805</v>
      </c>
      <c r="N707" t="b">
        <v>0</v>
      </c>
      <c r="O707" t="b">
        <v>0</v>
      </c>
    </row>
    <row r="708" spans="1:15">
      <c r="A708">
        <v>707</v>
      </c>
      <c r="B708" s="1">
        <v>45341.367337962962</v>
      </c>
      <c r="C708" s="2">
        <v>45341.792722129627</v>
      </c>
      <c r="E708" t="s">
        <v>11</v>
      </c>
      <c r="F708" t="s">
        <v>3</v>
      </c>
      <c r="G708" t="s">
        <v>15</v>
      </c>
      <c r="H708">
        <v>4</v>
      </c>
      <c r="I708">
        <v>4</v>
      </c>
      <c r="J708" t="s">
        <v>49</v>
      </c>
      <c r="K708" t="s">
        <v>40</v>
      </c>
      <c r="L708" t="s">
        <v>102</v>
      </c>
      <c r="M708" t="s">
        <v>806</v>
      </c>
      <c r="N708" t="b">
        <v>0</v>
      </c>
      <c r="O708" t="b">
        <v>0</v>
      </c>
    </row>
    <row r="709" spans="1:15">
      <c r="A709">
        <v>708</v>
      </c>
      <c r="B709" s="1">
        <v>45341.415636574071</v>
      </c>
      <c r="C709" s="2">
        <v>45341.549501331021</v>
      </c>
      <c r="D709" s="2">
        <v>45341.987160787037</v>
      </c>
      <c r="E709" t="s">
        <v>10</v>
      </c>
      <c r="F709" t="s">
        <v>2</v>
      </c>
      <c r="G709" t="s">
        <v>15</v>
      </c>
      <c r="H709">
        <v>4</v>
      </c>
      <c r="I709">
        <v>5</v>
      </c>
      <c r="J709" t="s">
        <v>52</v>
      </c>
      <c r="K709" t="s">
        <v>40</v>
      </c>
      <c r="L709" t="s">
        <v>41</v>
      </c>
      <c r="M709" t="s">
        <v>807</v>
      </c>
      <c r="N709" t="b">
        <v>0</v>
      </c>
      <c r="O709" t="b">
        <v>0</v>
      </c>
    </row>
    <row r="710" spans="1:15">
      <c r="A710">
        <v>709</v>
      </c>
      <c r="B710" s="1">
        <v>45341.514062499999</v>
      </c>
      <c r="C710" s="2">
        <v>45341.539635057874</v>
      </c>
      <c r="D710" s="2">
        <v>45341.600431435189</v>
      </c>
      <c r="E710" t="s">
        <v>8</v>
      </c>
      <c r="F710" t="s">
        <v>2</v>
      </c>
      <c r="G710" t="s">
        <v>15</v>
      </c>
      <c r="H710">
        <v>6</v>
      </c>
      <c r="I710">
        <v>2</v>
      </c>
      <c r="J710" t="s">
        <v>52</v>
      </c>
      <c r="K710" t="s">
        <v>73</v>
      </c>
      <c r="L710" t="s">
        <v>106</v>
      </c>
      <c r="M710" t="s">
        <v>808</v>
      </c>
      <c r="N710" t="b">
        <v>1</v>
      </c>
      <c r="O710" t="b">
        <v>0</v>
      </c>
    </row>
    <row r="711" spans="1:15">
      <c r="A711">
        <v>710</v>
      </c>
      <c r="B711" s="1">
        <v>45341.550370370373</v>
      </c>
      <c r="C711" s="2">
        <v>45342.024013634262</v>
      </c>
      <c r="E711" t="s">
        <v>11</v>
      </c>
      <c r="F711" t="s">
        <v>80</v>
      </c>
      <c r="G711" t="s">
        <v>14</v>
      </c>
      <c r="H711">
        <v>8</v>
      </c>
      <c r="I711">
        <v>6</v>
      </c>
      <c r="J711" t="s">
        <v>68</v>
      </c>
      <c r="K711" t="s">
        <v>36</v>
      </c>
      <c r="L711" t="s">
        <v>221</v>
      </c>
      <c r="M711" t="s">
        <v>809</v>
      </c>
      <c r="N711" t="b">
        <v>0</v>
      </c>
      <c r="O711" t="b">
        <v>0</v>
      </c>
    </row>
    <row r="712" spans="1:15">
      <c r="A712">
        <v>711</v>
      </c>
      <c r="B712" s="1">
        <v>45341.598807870374</v>
      </c>
      <c r="C712" s="2">
        <v>45341.922031678238</v>
      </c>
      <c r="D712" s="2">
        <v>45342.076184398145</v>
      </c>
      <c r="E712" t="s">
        <v>10</v>
      </c>
      <c r="F712" t="s">
        <v>2</v>
      </c>
      <c r="G712" t="s">
        <v>15</v>
      </c>
      <c r="H712">
        <v>7</v>
      </c>
      <c r="I712">
        <v>1</v>
      </c>
      <c r="J712" t="s">
        <v>39</v>
      </c>
      <c r="K712" t="s">
        <v>43</v>
      </c>
      <c r="L712" t="s">
        <v>69</v>
      </c>
      <c r="M712" t="s">
        <v>810</v>
      </c>
      <c r="N712" t="b">
        <v>0</v>
      </c>
      <c r="O712" t="b">
        <v>0</v>
      </c>
    </row>
    <row r="713" spans="1:15">
      <c r="A713">
        <v>712</v>
      </c>
      <c r="B713" s="1">
        <v>45341.635254629633</v>
      </c>
      <c r="C713" s="2">
        <v>45341.716466018515</v>
      </c>
      <c r="D713" s="2">
        <v>45342.391513275463</v>
      </c>
      <c r="E713" t="s">
        <v>10</v>
      </c>
      <c r="F713" t="s">
        <v>2</v>
      </c>
      <c r="G713" t="s">
        <v>15</v>
      </c>
      <c r="H713">
        <v>3</v>
      </c>
      <c r="I713">
        <v>3</v>
      </c>
      <c r="J713" t="s">
        <v>31</v>
      </c>
      <c r="K713" t="s">
        <v>46</v>
      </c>
      <c r="L713" t="s">
        <v>104</v>
      </c>
      <c r="M713" t="s">
        <v>811</v>
      </c>
      <c r="N713" t="b">
        <v>0</v>
      </c>
      <c r="O713" t="b">
        <v>0</v>
      </c>
    </row>
    <row r="714" spans="1:15">
      <c r="A714">
        <v>713</v>
      </c>
      <c r="B714" s="1">
        <v>45341.635578703703</v>
      </c>
      <c r="C714" s="2">
        <v>45341.893372037041</v>
      </c>
      <c r="D714" s="2">
        <v>45343.210661585646</v>
      </c>
      <c r="E714" t="s">
        <v>11</v>
      </c>
      <c r="F714" t="s">
        <v>4</v>
      </c>
      <c r="G714" t="s">
        <v>15</v>
      </c>
      <c r="H714">
        <v>1</v>
      </c>
      <c r="I714">
        <v>7</v>
      </c>
      <c r="J714" t="s">
        <v>68</v>
      </c>
      <c r="K714" t="s">
        <v>71</v>
      </c>
      <c r="L714" t="s">
        <v>98</v>
      </c>
      <c r="M714" t="s">
        <v>812</v>
      </c>
      <c r="N714" t="b">
        <v>0</v>
      </c>
      <c r="O714" t="b">
        <v>0</v>
      </c>
    </row>
    <row r="715" spans="1:15">
      <c r="A715">
        <v>714</v>
      </c>
      <c r="B715" s="1">
        <v>45341.703043981484</v>
      </c>
      <c r="C715" s="2">
        <v>45341.805080405094</v>
      </c>
      <c r="D715" s="2">
        <v>45342.649108483798</v>
      </c>
      <c r="E715" t="s">
        <v>10</v>
      </c>
      <c r="F715" t="s">
        <v>4</v>
      </c>
      <c r="G715" t="s">
        <v>15</v>
      </c>
      <c r="H715">
        <v>4</v>
      </c>
      <c r="I715">
        <v>1</v>
      </c>
      <c r="J715" t="s">
        <v>52</v>
      </c>
      <c r="K715" t="s">
        <v>40</v>
      </c>
      <c r="L715" t="s">
        <v>192</v>
      </c>
      <c r="M715" t="s">
        <v>813</v>
      </c>
      <c r="N715" t="b">
        <v>1</v>
      </c>
      <c r="O715" t="b">
        <v>0</v>
      </c>
    </row>
    <row r="716" spans="1:15">
      <c r="A716">
        <v>715</v>
      </c>
      <c r="B716" s="1">
        <v>45341.710046296299</v>
      </c>
      <c r="C716" s="2">
        <v>45341.90965559028</v>
      </c>
      <c r="D716" s="2">
        <v>45342.087972627312</v>
      </c>
      <c r="E716" t="s">
        <v>10</v>
      </c>
      <c r="F716" t="s">
        <v>4</v>
      </c>
      <c r="G716" t="s">
        <v>15</v>
      </c>
      <c r="H716">
        <v>7</v>
      </c>
      <c r="I716">
        <v>1</v>
      </c>
      <c r="J716" t="s">
        <v>49</v>
      </c>
      <c r="K716" t="s">
        <v>43</v>
      </c>
      <c r="L716" t="s">
        <v>134</v>
      </c>
      <c r="M716" t="s">
        <v>814</v>
      </c>
      <c r="N716" t="b">
        <v>0</v>
      </c>
      <c r="O716" t="b">
        <v>0</v>
      </c>
    </row>
    <row r="717" spans="1:15">
      <c r="A717">
        <v>716</v>
      </c>
      <c r="B717" s="1">
        <v>45341.711157407408</v>
      </c>
      <c r="C717" s="2">
        <v>45341.762900393522</v>
      </c>
      <c r="E717" t="s">
        <v>9</v>
      </c>
      <c r="F717" t="s">
        <v>80</v>
      </c>
      <c r="G717" t="s">
        <v>16</v>
      </c>
      <c r="H717">
        <v>6</v>
      </c>
      <c r="I717">
        <v>3</v>
      </c>
      <c r="J717" t="s">
        <v>31</v>
      </c>
      <c r="K717" t="s">
        <v>73</v>
      </c>
      <c r="L717" t="s">
        <v>78</v>
      </c>
      <c r="M717" t="s">
        <v>815</v>
      </c>
      <c r="N717" t="b">
        <v>0</v>
      </c>
      <c r="O717" t="b">
        <v>0</v>
      </c>
    </row>
    <row r="718" spans="1:15">
      <c r="A718">
        <v>717</v>
      </c>
      <c r="B718" s="1">
        <v>45341.717534722222</v>
      </c>
      <c r="C718" s="2">
        <v>45341.928295138889</v>
      </c>
      <c r="D718" s="2">
        <v>45343.241888912038</v>
      </c>
      <c r="E718" t="s">
        <v>11</v>
      </c>
      <c r="F718" t="s">
        <v>4</v>
      </c>
      <c r="G718" t="s">
        <v>14</v>
      </c>
      <c r="H718">
        <v>3</v>
      </c>
      <c r="I718">
        <v>8</v>
      </c>
      <c r="J718" t="s">
        <v>39</v>
      </c>
      <c r="K718" t="s">
        <v>46</v>
      </c>
      <c r="L718" t="s">
        <v>153</v>
      </c>
      <c r="M718" t="s">
        <v>816</v>
      </c>
      <c r="N718" t="b">
        <v>0</v>
      </c>
      <c r="O718" t="b">
        <v>0</v>
      </c>
    </row>
    <row r="719" spans="1:15">
      <c r="A719">
        <v>718</v>
      </c>
      <c r="B719" s="1">
        <v>45341.783958333333</v>
      </c>
      <c r="C719" s="2">
        <v>45341.832611041667</v>
      </c>
      <c r="D719" s="2">
        <v>45342.242209618053</v>
      </c>
      <c r="E719" t="s">
        <v>10</v>
      </c>
      <c r="F719" t="s">
        <v>4</v>
      </c>
      <c r="G719" t="s">
        <v>15</v>
      </c>
      <c r="H719">
        <v>1</v>
      </c>
      <c r="I719">
        <v>9</v>
      </c>
      <c r="J719" t="s">
        <v>35</v>
      </c>
      <c r="K719" t="s">
        <v>71</v>
      </c>
      <c r="L719" t="s">
        <v>50</v>
      </c>
      <c r="M719" t="s">
        <v>817</v>
      </c>
      <c r="N719" t="b">
        <v>0</v>
      </c>
      <c r="O719" t="b">
        <v>0</v>
      </c>
    </row>
    <row r="720" spans="1:15">
      <c r="A720">
        <v>719</v>
      </c>
      <c r="B720" s="1">
        <v>45341.82167824074</v>
      </c>
      <c r="C720" s="2">
        <v>45342.10952121528</v>
      </c>
      <c r="D720" s="2">
        <v>45344.243493368056</v>
      </c>
      <c r="E720" t="s">
        <v>11</v>
      </c>
      <c r="F720" t="s">
        <v>4</v>
      </c>
      <c r="G720" t="s">
        <v>15</v>
      </c>
      <c r="H720">
        <v>3</v>
      </c>
      <c r="I720">
        <v>1</v>
      </c>
      <c r="J720" t="s">
        <v>31</v>
      </c>
      <c r="K720" t="s">
        <v>46</v>
      </c>
      <c r="L720" t="s">
        <v>89</v>
      </c>
      <c r="M720" t="s">
        <v>818</v>
      </c>
      <c r="N720" t="b">
        <v>0</v>
      </c>
      <c r="O720" t="b">
        <v>0</v>
      </c>
    </row>
    <row r="721" spans="1:15">
      <c r="A721">
        <v>720</v>
      </c>
      <c r="B721" s="1">
        <v>45341.952233796299</v>
      </c>
      <c r="C721" s="2">
        <v>45342.319274780093</v>
      </c>
      <c r="D721" s="2">
        <v>45344.67829246528</v>
      </c>
      <c r="E721" t="s">
        <v>11</v>
      </c>
      <c r="F721" t="s">
        <v>4</v>
      </c>
      <c r="G721" t="s">
        <v>15</v>
      </c>
      <c r="H721">
        <v>6</v>
      </c>
      <c r="I721">
        <v>3</v>
      </c>
      <c r="J721" t="s">
        <v>68</v>
      </c>
      <c r="K721" t="s">
        <v>73</v>
      </c>
      <c r="L721" t="s">
        <v>37</v>
      </c>
      <c r="M721" t="s">
        <v>819</v>
      </c>
      <c r="N721" t="b">
        <v>1</v>
      </c>
      <c r="O721" t="b">
        <v>0</v>
      </c>
    </row>
    <row r="722" spans="1:15">
      <c r="A722">
        <v>721</v>
      </c>
      <c r="B722" s="1">
        <v>45341.995578703703</v>
      </c>
      <c r="C722" s="2">
        <v>45342.036965439816</v>
      </c>
      <c r="D722" s="2">
        <v>45342.097116643519</v>
      </c>
      <c r="E722" t="s">
        <v>8</v>
      </c>
      <c r="F722" t="s">
        <v>4</v>
      </c>
      <c r="G722" t="s">
        <v>15</v>
      </c>
      <c r="H722">
        <v>6</v>
      </c>
      <c r="I722">
        <v>1</v>
      </c>
      <c r="J722" t="s">
        <v>39</v>
      </c>
      <c r="K722" t="s">
        <v>73</v>
      </c>
      <c r="L722" t="s">
        <v>85</v>
      </c>
      <c r="M722" t="s">
        <v>820</v>
      </c>
      <c r="N722" t="b">
        <v>1</v>
      </c>
      <c r="O722" t="b">
        <v>0</v>
      </c>
    </row>
    <row r="723" spans="1:15">
      <c r="A723">
        <v>722</v>
      </c>
      <c r="B723" s="1">
        <v>45342.004224537035</v>
      </c>
      <c r="C723" s="2">
        <v>45342.48539623843</v>
      </c>
      <c r="D723" s="2">
        <v>45342.991756134259</v>
      </c>
      <c r="E723" t="s">
        <v>11</v>
      </c>
      <c r="F723" t="s">
        <v>4</v>
      </c>
      <c r="G723" t="s">
        <v>15</v>
      </c>
      <c r="H723">
        <v>4</v>
      </c>
      <c r="I723">
        <v>1</v>
      </c>
      <c r="J723" t="s">
        <v>68</v>
      </c>
      <c r="K723" t="s">
        <v>40</v>
      </c>
      <c r="L723" t="s">
        <v>50</v>
      </c>
      <c r="M723" t="s">
        <v>821</v>
      </c>
      <c r="N723" t="b">
        <v>0</v>
      </c>
      <c r="O723" t="b">
        <v>0</v>
      </c>
    </row>
    <row r="724" spans="1:15">
      <c r="A724">
        <v>723</v>
      </c>
      <c r="B724" s="1">
        <v>45342.053530092591</v>
      </c>
      <c r="C724" s="2">
        <v>45342.203486736114</v>
      </c>
      <c r="D724" s="2">
        <v>45344.283333912033</v>
      </c>
      <c r="E724" t="s">
        <v>11</v>
      </c>
      <c r="F724" t="s">
        <v>4</v>
      </c>
      <c r="G724" t="s">
        <v>16</v>
      </c>
      <c r="H724">
        <v>3</v>
      </c>
      <c r="I724">
        <v>10</v>
      </c>
      <c r="J724" t="s">
        <v>52</v>
      </c>
      <c r="K724" t="s">
        <v>46</v>
      </c>
      <c r="L724" t="s">
        <v>253</v>
      </c>
      <c r="M724" t="s">
        <v>822</v>
      </c>
      <c r="N724" t="b">
        <v>0</v>
      </c>
      <c r="O724" t="b">
        <v>0</v>
      </c>
    </row>
    <row r="725" spans="1:15">
      <c r="A725">
        <v>724</v>
      </c>
      <c r="B725" s="1">
        <v>45342.244930555556</v>
      </c>
      <c r="C725" s="2">
        <v>45342.791519467595</v>
      </c>
      <c r="D725" s="2">
        <v>45343.657130405096</v>
      </c>
      <c r="E725" t="s">
        <v>11</v>
      </c>
      <c r="F725" t="s">
        <v>4</v>
      </c>
      <c r="G725" t="s">
        <v>15</v>
      </c>
      <c r="H725">
        <v>2</v>
      </c>
      <c r="I725">
        <v>5</v>
      </c>
      <c r="J725" t="s">
        <v>68</v>
      </c>
      <c r="K725" t="s">
        <v>57</v>
      </c>
      <c r="L725" t="s">
        <v>174</v>
      </c>
      <c r="M725" t="s">
        <v>823</v>
      </c>
      <c r="N725" t="b">
        <v>0</v>
      </c>
      <c r="O725" t="b">
        <v>0</v>
      </c>
    </row>
    <row r="726" spans="1:15">
      <c r="A726">
        <v>725</v>
      </c>
      <c r="B726" s="1">
        <v>45342.252129629633</v>
      </c>
      <c r="C726" s="2">
        <v>45342.361712986109</v>
      </c>
      <c r="D726" s="2">
        <v>45342.548920231478</v>
      </c>
      <c r="E726" t="s">
        <v>10</v>
      </c>
      <c r="F726" t="s">
        <v>4</v>
      </c>
      <c r="G726" t="s">
        <v>17</v>
      </c>
      <c r="H726">
        <v>8</v>
      </c>
      <c r="I726">
        <v>8</v>
      </c>
      <c r="J726" t="s">
        <v>35</v>
      </c>
      <c r="K726" t="s">
        <v>36</v>
      </c>
      <c r="L726" t="s">
        <v>310</v>
      </c>
      <c r="M726" t="s">
        <v>824</v>
      </c>
      <c r="N726" t="b">
        <v>0</v>
      </c>
      <c r="O726" t="b">
        <v>0</v>
      </c>
    </row>
    <row r="727" spans="1:15">
      <c r="A727">
        <v>726</v>
      </c>
      <c r="B727" s="1">
        <v>45342.267141203702</v>
      </c>
      <c r="C727" s="2">
        <v>45342.501973194441</v>
      </c>
      <c r="D727" s="2">
        <v>45342.846569398149</v>
      </c>
      <c r="E727" t="s">
        <v>10</v>
      </c>
      <c r="F727" t="s">
        <v>2</v>
      </c>
      <c r="G727" t="s">
        <v>14</v>
      </c>
      <c r="H727">
        <v>4</v>
      </c>
      <c r="I727">
        <v>7</v>
      </c>
      <c r="J727" t="s">
        <v>35</v>
      </c>
      <c r="K727" t="s">
        <v>40</v>
      </c>
      <c r="L727" t="s">
        <v>284</v>
      </c>
      <c r="M727" t="s">
        <v>825</v>
      </c>
      <c r="N727" t="b">
        <v>0</v>
      </c>
      <c r="O727" t="b">
        <v>0</v>
      </c>
    </row>
    <row r="728" spans="1:15">
      <c r="A728">
        <v>727</v>
      </c>
      <c r="B728" s="1">
        <v>45342.426134259258</v>
      </c>
      <c r="C728" s="2">
        <v>45343.148576388892</v>
      </c>
      <c r="D728" s="2">
        <v>45343.658059490743</v>
      </c>
      <c r="E728" t="s">
        <v>11</v>
      </c>
      <c r="F728" t="s">
        <v>4</v>
      </c>
      <c r="G728" t="s">
        <v>15</v>
      </c>
      <c r="H728">
        <v>7</v>
      </c>
      <c r="I728">
        <v>5</v>
      </c>
      <c r="J728" t="s">
        <v>39</v>
      </c>
      <c r="K728" t="s">
        <v>43</v>
      </c>
      <c r="L728" t="s">
        <v>200</v>
      </c>
      <c r="M728" t="s">
        <v>826</v>
      </c>
      <c r="N728" t="b">
        <v>0</v>
      </c>
      <c r="O728" t="b">
        <v>0</v>
      </c>
    </row>
    <row r="729" spans="1:15">
      <c r="A729">
        <v>728</v>
      </c>
      <c r="B729" s="1">
        <v>45342.695891203701</v>
      </c>
      <c r="C729" s="2">
        <v>45342.926846238428</v>
      </c>
      <c r="D729" s="2">
        <v>45345.049166354169</v>
      </c>
      <c r="E729" t="s">
        <v>11</v>
      </c>
      <c r="F729" t="s">
        <v>4</v>
      </c>
      <c r="G729" t="s">
        <v>14</v>
      </c>
      <c r="H729">
        <v>4</v>
      </c>
      <c r="I729">
        <v>8</v>
      </c>
      <c r="J729" t="s">
        <v>39</v>
      </c>
      <c r="K729" t="s">
        <v>40</v>
      </c>
      <c r="L729" t="s">
        <v>124</v>
      </c>
      <c r="M729" t="s">
        <v>379</v>
      </c>
      <c r="N729" t="b">
        <v>0</v>
      </c>
      <c r="O729" t="b">
        <v>0</v>
      </c>
    </row>
    <row r="730" spans="1:15">
      <c r="A730">
        <v>729</v>
      </c>
      <c r="B730" s="1">
        <v>45342.709583333337</v>
      </c>
      <c r="C730" s="2">
        <v>45343.298322557872</v>
      </c>
      <c r="D730" s="2">
        <v>45345.26506859954</v>
      </c>
      <c r="E730" t="s">
        <v>11</v>
      </c>
      <c r="F730" t="s">
        <v>4</v>
      </c>
      <c r="G730" t="s">
        <v>14</v>
      </c>
      <c r="H730">
        <v>5</v>
      </c>
      <c r="I730">
        <v>3</v>
      </c>
      <c r="J730" t="s">
        <v>35</v>
      </c>
      <c r="K730" t="s">
        <v>32</v>
      </c>
      <c r="L730" t="s">
        <v>192</v>
      </c>
      <c r="M730" t="s">
        <v>827</v>
      </c>
      <c r="N730" t="b">
        <v>0</v>
      </c>
      <c r="O730" t="b">
        <v>0</v>
      </c>
    </row>
    <row r="731" spans="1:15">
      <c r="A731">
        <v>730</v>
      </c>
      <c r="B731" s="1">
        <v>45342.713773148149</v>
      </c>
      <c r="C731" s="2">
        <v>45342.763584872686</v>
      </c>
      <c r="D731" s="2">
        <v>45343.653072222223</v>
      </c>
      <c r="E731" t="s">
        <v>10</v>
      </c>
      <c r="F731" t="s">
        <v>4</v>
      </c>
      <c r="G731" t="s">
        <v>15</v>
      </c>
      <c r="H731">
        <v>6</v>
      </c>
      <c r="I731">
        <v>5</v>
      </c>
      <c r="J731" t="s">
        <v>39</v>
      </c>
      <c r="K731" t="s">
        <v>73</v>
      </c>
      <c r="L731" t="s">
        <v>213</v>
      </c>
      <c r="M731" t="s">
        <v>828</v>
      </c>
      <c r="N731" t="b">
        <v>1</v>
      </c>
      <c r="O731" t="b">
        <v>0</v>
      </c>
    </row>
    <row r="732" spans="1:15">
      <c r="A732">
        <v>731</v>
      </c>
      <c r="B732" s="1">
        <v>45342.769548611112</v>
      </c>
      <c r="C732" s="2">
        <v>45343.041705532407</v>
      </c>
      <c r="D732" s="2">
        <v>45343.674901874998</v>
      </c>
      <c r="E732" t="s">
        <v>10</v>
      </c>
      <c r="F732" t="s">
        <v>4</v>
      </c>
      <c r="G732" t="s">
        <v>14</v>
      </c>
      <c r="H732">
        <v>3</v>
      </c>
      <c r="I732">
        <v>4</v>
      </c>
      <c r="J732" t="s">
        <v>31</v>
      </c>
      <c r="K732" t="s">
        <v>46</v>
      </c>
      <c r="L732" t="s">
        <v>253</v>
      </c>
      <c r="M732" t="s">
        <v>829</v>
      </c>
      <c r="N732" t="b">
        <v>1</v>
      </c>
      <c r="O732" t="b">
        <v>0</v>
      </c>
    </row>
    <row r="733" spans="1:15">
      <c r="A733">
        <v>732</v>
      </c>
      <c r="B733" s="1">
        <v>45342.822777777779</v>
      </c>
      <c r="C733" s="2">
        <v>45343.01747929398</v>
      </c>
      <c r="D733" s="2">
        <v>45343.287270000001</v>
      </c>
      <c r="E733" t="s">
        <v>10</v>
      </c>
      <c r="F733" t="s">
        <v>2</v>
      </c>
      <c r="G733" t="s">
        <v>15</v>
      </c>
      <c r="H733">
        <v>8</v>
      </c>
      <c r="I733">
        <v>6</v>
      </c>
      <c r="J733" t="s">
        <v>35</v>
      </c>
      <c r="K733" t="s">
        <v>36</v>
      </c>
      <c r="L733" t="s">
        <v>121</v>
      </c>
      <c r="M733" t="s">
        <v>830</v>
      </c>
      <c r="N733" t="b">
        <v>0</v>
      </c>
      <c r="O733" t="b">
        <v>0</v>
      </c>
    </row>
    <row r="734" spans="1:15">
      <c r="A734">
        <v>733</v>
      </c>
      <c r="B734" s="1">
        <v>45342.886759259258</v>
      </c>
      <c r="C734" s="2">
        <v>45343.355544872684</v>
      </c>
      <c r="D734" s="2">
        <v>45343.809345497684</v>
      </c>
      <c r="E734" t="s">
        <v>11</v>
      </c>
      <c r="F734" t="s">
        <v>4</v>
      </c>
      <c r="G734" t="s">
        <v>15</v>
      </c>
      <c r="H734">
        <v>4</v>
      </c>
      <c r="I734">
        <v>3</v>
      </c>
      <c r="J734" t="s">
        <v>68</v>
      </c>
      <c r="K734" t="s">
        <v>40</v>
      </c>
      <c r="L734" t="s">
        <v>55</v>
      </c>
      <c r="M734" t="s">
        <v>831</v>
      </c>
      <c r="N734" t="b">
        <v>0</v>
      </c>
      <c r="O734" t="b">
        <v>0</v>
      </c>
    </row>
    <row r="735" spans="1:15">
      <c r="A735">
        <v>734</v>
      </c>
      <c r="B735" s="1">
        <v>45342.962395833332</v>
      </c>
      <c r="C735" s="2">
        <v>45343.716213125001</v>
      </c>
      <c r="D735" s="2">
        <v>45344.549814456019</v>
      </c>
      <c r="E735" t="s">
        <v>11</v>
      </c>
      <c r="F735" t="s">
        <v>2</v>
      </c>
      <c r="G735" t="s">
        <v>14</v>
      </c>
      <c r="H735">
        <v>7</v>
      </c>
      <c r="I735">
        <v>8</v>
      </c>
      <c r="J735" t="s">
        <v>49</v>
      </c>
      <c r="K735" t="s">
        <v>43</v>
      </c>
      <c r="L735" t="s">
        <v>127</v>
      </c>
      <c r="M735" t="s">
        <v>832</v>
      </c>
      <c r="N735" t="b">
        <v>0</v>
      </c>
      <c r="O735" t="b">
        <v>0</v>
      </c>
    </row>
    <row r="736" spans="1:15">
      <c r="A736">
        <v>735</v>
      </c>
      <c r="B736" s="1">
        <v>45342.973807870374</v>
      </c>
      <c r="C736" s="2">
        <v>45343.237587939817</v>
      </c>
      <c r="D736" s="2">
        <v>45345.336466134257</v>
      </c>
      <c r="E736" t="s">
        <v>11</v>
      </c>
      <c r="F736" t="s">
        <v>4</v>
      </c>
      <c r="G736" t="s">
        <v>14</v>
      </c>
      <c r="H736">
        <v>8</v>
      </c>
      <c r="I736">
        <v>9</v>
      </c>
      <c r="J736" t="s">
        <v>49</v>
      </c>
      <c r="K736" t="s">
        <v>36</v>
      </c>
      <c r="L736" t="s">
        <v>96</v>
      </c>
      <c r="M736" t="s">
        <v>833</v>
      </c>
      <c r="N736" t="b">
        <v>0</v>
      </c>
      <c r="O736" t="b">
        <v>0</v>
      </c>
    </row>
    <row r="737" spans="1:15">
      <c r="A737">
        <v>736</v>
      </c>
      <c r="B737" s="1">
        <v>45342.996122685188</v>
      </c>
      <c r="C737" s="2">
        <v>45343.124962789349</v>
      </c>
      <c r="D737" s="2">
        <v>45343.332296354165</v>
      </c>
      <c r="E737" t="s">
        <v>10</v>
      </c>
      <c r="F737" t="s">
        <v>4</v>
      </c>
      <c r="G737" t="s">
        <v>15</v>
      </c>
      <c r="H737">
        <v>4</v>
      </c>
      <c r="I737">
        <v>9</v>
      </c>
      <c r="J737" t="s">
        <v>31</v>
      </c>
      <c r="K737" t="s">
        <v>40</v>
      </c>
      <c r="L737" t="s">
        <v>171</v>
      </c>
      <c r="M737" t="s">
        <v>834</v>
      </c>
      <c r="N737" t="b">
        <v>0</v>
      </c>
      <c r="O737" t="b">
        <v>0</v>
      </c>
    </row>
    <row r="738" spans="1:15">
      <c r="A738">
        <v>737</v>
      </c>
      <c r="B738" s="1">
        <v>45342.996932870374</v>
      </c>
      <c r="C738" s="2">
        <v>45343.457965497684</v>
      </c>
      <c r="D738" s="2">
        <v>45344.420470879631</v>
      </c>
      <c r="E738" t="s">
        <v>11</v>
      </c>
      <c r="F738" t="s">
        <v>4</v>
      </c>
      <c r="G738" t="s">
        <v>15</v>
      </c>
      <c r="H738">
        <v>2</v>
      </c>
      <c r="I738">
        <v>9</v>
      </c>
      <c r="J738" t="s">
        <v>68</v>
      </c>
      <c r="K738" t="s">
        <v>57</v>
      </c>
      <c r="L738" t="s">
        <v>100</v>
      </c>
      <c r="M738" t="s">
        <v>835</v>
      </c>
      <c r="N738" t="b">
        <v>0</v>
      </c>
      <c r="O738" t="b">
        <v>0</v>
      </c>
    </row>
    <row r="739" spans="1:15">
      <c r="A739">
        <v>738</v>
      </c>
      <c r="B739" s="1">
        <v>45343.089050925926</v>
      </c>
      <c r="C739" s="2">
        <v>45343.202143414353</v>
      </c>
      <c r="D739" s="2">
        <v>45343.262185601852</v>
      </c>
      <c r="E739" t="s">
        <v>9</v>
      </c>
      <c r="F739" t="s">
        <v>4</v>
      </c>
      <c r="G739" t="s">
        <v>16</v>
      </c>
      <c r="H739">
        <v>8</v>
      </c>
      <c r="I739">
        <v>7</v>
      </c>
      <c r="J739" t="s">
        <v>52</v>
      </c>
      <c r="K739" t="s">
        <v>36</v>
      </c>
      <c r="L739" t="s">
        <v>41</v>
      </c>
      <c r="M739" t="s">
        <v>836</v>
      </c>
      <c r="N739" t="b">
        <v>0</v>
      </c>
      <c r="O739" t="b">
        <v>0</v>
      </c>
    </row>
    <row r="740" spans="1:15">
      <c r="A740">
        <v>739</v>
      </c>
      <c r="B740" s="1">
        <v>45343.113761574074</v>
      </c>
      <c r="C740" s="2">
        <v>45343.249306689817</v>
      </c>
      <c r="D740" s="2">
        <v>45343.529060752313</v>
      </c>
      <c r="E740" t="s">
        <v>10</v>
      </c>
      <c r="F740" t="s">
        <v>4</v>
      </c>
      <c r="G740" t="s">
        <v>17</v>
      </c>
      <c r="H740">
        <v>7</v>
      </c>
      <c r="I740">
        <v>8</v>
      </c>
      <c r="J740" t="s">
        <v>31</v>
      </c>
      <c r="K740" t="s">
        <v>43</v>
      </c>
      <c r="L740" t="s">
        <v>134</v>
      </c>
      <c r="M740" t="s">
        <v>837</v>
      </c>
      <c r="N740" t="b">
        <v>0</v>
      </c>
      <c r="O740" t="b">
        <v>0</v>
      </c>
    </row>
    <row r="741" spans="1:15">
      <c r="A741">
        <v>740</v>
      </c>
      <c r="B741" s="1">
        <v>45343.195034722223</v>
      </c>
      <c r="C741" s="2">
        <v>45343.440187731481</v>
      </c>
      <c r="D741" s="2">
        <v>45344.115014560186</v>
      </c>
      <c r="E741" t="s">
        <v>10</v>
      </c>
      <c r="F741" t="s">
        <v>4</v>
      </c>
      <c r="G741" t="s">
        <v>17</v>
      </c>
      <c r="H741">
        <v>7</v>
      </c>
      <c r="I741">
        <v>7</v>
      </c>
      <c r="J741" t="s">
        <v>39</v>
      </c>
      <c r="K741" t="s">
        <v>43</v>
      </c>
      <c r="L741" t="s">
        <v>127</v>
      </c>
      <c r="M741" t="s">
        <v>838</v>
      </c>
      <c r="N741" t="b">
        <v>1</v>
      </c>
      <c r="O741" t="b">
        <v>0</v>
      </c>
    </row>
    <row r="742" spans="1:15">
      <c r="A742">
        <v>741</v>
      </c>
      <c r="B742" s="1">
        <v>45343.282824074071</v>
      </c>
      <c r="C742" s="2">
        <v>45343.41643730324</v>
      </c>
      <c r="E742" t="s">
        <v>10</v>
      </c>
      <c r="F742" t="s">
        <v>3</v>
      </c>
      <c r="G742" t="s">
        <v>17</v>
      </c>
      <c r="H742">
        <v>8</v>
      </c>
      <c r="I742">
        <v>10</v>
      </c>
      <c r="J742" t="s">
        <v>39</v>
      </c>
      <c r="K742" t="s">
        <v>36</v>
      </c>
      <c r="L742" t="s">
        <v>131</v>
      </c>
      <c r="M742" t="s">
        <v>839</v>
      </c>
      <c r="N742" t="b">
        <v>0</v>
      </c>
      <c r="O742" t="b">
        <v>0</v>
      </c>
    </row>
    <row r="743" spans="1:15">
      <c r="A743">
        <v>742</v>
      </c>
      <c r="B743" s="1">
        <v>45343.483831018515</v>
      </c>
      <c r="C743" s="2">
        <v>45343.966092407405</v>
      </c>
      <c r="D743" s="2">
        <v>45344.461655914354</v>
      </c>
      <c r="E743" t="s">
        <v>11</v>
      </c>
      <c r="F743" t="s">
        <v>4</v>
      </c>
      <c r="G743" t="s">
        <v>17</v>
      </c>
      <c r="H743">
        <v>1</v>
      </c>
      <c r="I743">
        <v>1</v>
      </c>
      <c r="J743" t="s">
        <v>52</v>
      </c>
      <c r="K743" t="s">
        <v>71</v>
      </c>
      <c r="L743" t="s">
        <v>136</v>
      </c>
      <c r="M743" t="s">
        <v>840</v>
      </c>
      <c r="N743" t="b">
        <v>0</v>
      </c>
      <c r="O743" t="b">
        <v>0</v>
      </c>
    </row>
    <row r="744" spans="1:15">
      <c r="A744">
        <v>743</v>
      </c>
      <c r="B744" s="1">
        <v>45343.866493055553</v>
      </c>
      <c r="C744" s="2">
        <v>45343.93733980324</v>
      </c>
      <c r="E744" t="s">
        <v>10</v>
      </c>
      <c r="F744" t="s">
        <v>3</v>
      </c>
      <c r="G744" t="s">
        <v>17</v>
      </c>
      <c r="H744">
        <v>8</v>
      </c>
      <c r="I744">
        <v>2</v>
      </c>
      <c r="J744" t="s">
        <v>31</v>
      </c>
      <c r="K744" t="s">
        <v>36</v>
      </c>
      <c r="L744" t="s">
        <v>171</v>
      </c>
      <c r="M744" t="s">
        <v>841</v>
      </c>
      <c r="N744" t="b">
        <v>0</v>
      </c>
      <c r="O744" t="b">
        <v>0</v>
      </c>
    </row>
    <row r="745" spans="1:15">
      <c r="A745">
        <v>744</v>
      </c>
      <c r="B745" s="1">
        <v>45344.032013888886</v>
      </c>
      <c r="C745" s="2">
        <v>45344.074323125002</v>
      </c>
      <c r="D745" s="2">
        <v>45344.310848738423</v>
      </c>
      <c r="E745" t="s">
        <v>9</v>
      </c>
      <c r="F745" t="s">
        <v>4</v>
      </c>
      <c r="G745" t="s">
        <v>15</v>
      </c>
      <c r="H745">
        <v>1</v>
      </c>
      <c r="I745">
        <v>5</v>
      </c>
      <c r="J745" t="s">
        <v>31</v>
      </c>
      <c r="K745" t="s">
        <v>71</v>
      </c>
      <c r="L745" t="s">
        <v>64</v>
      </c>
      <c r="M745" t="s">
        <v>842</v>
      </c>
      <c r="N745" t="b">
        <v>0</v>
      </c>
      <c r="O745" t="b">
        <v>0</v>
      </c>
    </row>
    <row r="746" spans="1:15">
      <c r="A746">
        <v>745</v>
      </c>
      <c r="B746" s="1">
        <v>45344.146041666667</v>
      </c>
      <c r="C746" s="2">
        <v>45344.478907662036</v>
      </c>
      <c r="D746" s="2">
        <v>45344.830369780095</v>
      </c>
      <c r="E746" t="s">
        <v>10</v>
      </c>
      <c r="F746" t="s">
        <v>4</v>
      </c>
      <c r="G746" t="s">
        <v>15</v>
      </c>
      <c r="H746">
        <v>2</v>
      </c>
      <c r="I746">
        <v>7</v>
      </c>
      <c r="J746" t="s">
        <v>31</v>
      </c>
      <c r="K746" t="s">
        <v>57</v>
      </c>
      <c r="L746" t="s">
        <v>53</v>
      </c>
      <c r="M746" t="s">
        <v>843</v>
      </c>
      <c r="N746" t="b">
        <v>0</v>
      </c>
      <c r="O746" t="b">
        <v>0</v>
      </c>
    </row>
    <row r="747" spans="1:15">
      <c r="A747">
        <v>746</v>
      </c>
      <c r="B747" s="1">
        <v>45344.256782407407</v>
      </c>
      <c r="C747" s="2">
        <v>45344.451043761575</v>
      </c>
      <c r="D747" s="2">
        <v>45344.982923935182</v>
      </c>
      <c r="E747" t="s">
        <v>10</v>
      </c>
      <c r="F747" t="s">
        <v>4</v>
      </c>
      <c r="G747" t="s">
        <v>17</v>
      </c>
      <c r="H747">
        <v>2</v>
      </c>
      <c r="I747">
        <v>9</v>
      </c>
      <c r="J747" t="s">
        <v>31</v>
      </c>
      <c r="K747" t="s">
        <v>57</v>
      </c>
      <c r="L747" t="s">
        <v>53</v>
      </c>
      <c r="M747" t="s">
        <v>844</v>
      </c>
      <c r="N747" t="b">
        <v>0</v>
      </c>
      <c r="O747" t="b">
        <v>0</v>
      </c>
    </row>
    <row r="748" spans="1:15">
      <c r="A748">
        <v>747</v>
      </c>
      <c r="B748" s="1">
        <v>45344.258611111109</v>
      </c>
      <c r="C748" s="2">
        <v>45344.793437175926</v>
      </c>
      <c r="D748" s="2">
        <v>45346.299447060184</v>
      </c>
      <c r="E748" t="s">
        <v>11</v>
      </c>
      <c r="F748" t="s">
        <v>2</v>
      </c>
      <c r="G748" t="s">
        <v>14</v>
      </c>
      <c r="H748">
        <v>1</v>
      </c>
      <c r="I748">
        <v>1</v>
      </c>
      <c r="J748" t="s">
        <v>35</v>
      </c>
      <c r="K748" t="s">
        <v>71</v>
      </c>
      <c r="L748" t="s">
        <v>100</v>
      </c>
      <c r="M748" t="s">
        <v>845</v>
      </c>
      <c r="N748" t="b">
        <v>0</v>
      </c>
      <c r="O748" t="b">
        <v>0</v>
      </c>
    </row>
    <row r="749" spans="1:15">
      <c r="A749">
        <v>748</v>
      </c>
      <c r="B749" s="1">
        <v>45344.404120370367</v>
      </c>
      <c r="C749" s="2">
        <v>45344.710199085646</v>
      </c>
      <c r="E749" t="s">
        <v>10</v>
      </c>
      <c r="F749" t="s">
        <v>80</v>
      </c>
      <c r="G749" t="s">
        <v>14</v>
      </c>
      <c r="H749">
        <v>1</v>
      </c>
      <c r="I749">
        <v>2</v>
      </c>
      <c r="J749" t="s">
        <v>35</v>
      </c>
      <c r="K749" t="s">
        <v>71</v>
      </c>
      <c r="L749" t="s">
        <v>179</v>
      </c>
      <c r="M749" t="s">
        <v>846</v>
      </c>
      <c r="N749" t="b">
        <v>0</v>
      </c>
      <c r="O749" t="b">
        <v>0</v>
      </c>
    </row>
    <row r="750" spans="1:15">
      <c r="A750">
        <v>749</v>
      </c>
      <c r="B750" s="1">
        <v>45344.622361111113</v>
      </c>
      <c r="C750" s="2">
        <v>45344.919935381942</v>
      </c>
      <c r="D750" s="2">
        <v>45344.913299664353</v>
      </c>
      <c r="E750" t="s">
        <v>10</v>
      </c>
      <c r="F750" t="s">
        <v>4</v>
      </c>
      <c r="G750" t="s">
        <v>17</v>
      </c>
      <c r="H750">
        <v>2</v>
      </c>
      <c r="I750">
        <v>9</v>
      </c>
      <c r="J750" t="s">
        <v>68</v>
      </c>
      <c r="K750" t="s">
        <v>57</v>
      </c>
      <c r="L750" t="s">
        <v>78</v>
      </c>
      <c r="M750" t="s">
        <v>847</v>
      </c>
      <c r="N750" t="b">
        <v>0</v>
      </c>
      <c r="O750" t="b">
        <v>0</v>
      </c>
    </row>
    <row r="751" spans="1:15">
      <c r="A751">
        <v>750</v>
      </c>
      <c r="B751" s="1">
        <v>45344.637476851851</v>
      </c>
      <c r="C751" s="2">
        <v>45344.749675509258</v>
      </c>
      <c r="D751" s="2">
        <v>45344.724891527774</v>
      </c>
      <c r="E751" t="s">
        <v>9</v>
      </c>
      <c r="F751" t="s">
        <v>4</v>
      </c>
      <c r="G751" t="s">
        <v>17</v>
      </c>
      <c r="H751">
        <v>4</v>
      </c>
      <c r="I751">
        <v>4</v>
      </c>
      <c r="J751" t="s">
        <v>31</v>
      </c>
      <c r="K751" t="s">
        <v>40</v>
      </c>
      <c r="L751" t="s">
        <v>158</v>
      </c>
      <c r="M751" t="s">
        <v>848</v>
      </c>
      <c r="N751" t="b">
        <v>0</v>
      </c>
      <c r="O751" t="b">
        <v>0</v>
      </c>
    </row>
    <row r="752" spans="1:15">
      <c r="A752">
        <v>751</v>
      </c>
      <c r="B752" s="1">
        <v>45344.774085648147</v>
      </c>
      <c r="C752" s="2">
        <v>45345.448225590277</v>
      </c>
      <c r="D752" s="2">
        <v>45346.26158583333</v>
      </c>
      <c r="E752" t="s">
        <v>11</v>
      </c>
      <c r="F752" t="s">
        <v>4</v>
      </c>
      <c r="G752" t="s">
        <v>15</v>
      </c>
      <c r="H752">
        <v>3</v>
      </c>
      <c r="I752">
        <v>1</v>
      </c>
      <c r="J752" t="s">
        <v>39</v>
      </c>
      <c r="K752" t="s">
        <v>46</v>
      </c>
      <c r="L752" t="s">
        <v>58</v>
      </c>
      <c r="M752" t="s">
        <v>849</v>
      </c>
      <c r="N752" t="b">
        <v>0</v>
      </c>
      <c r="O752" t="b">
        <v>0</v>
      </c>
    </row>
    <row r="753" spans="1:15">
      <c r="A753">
        <v>752</v>
      </c>
      <c r="B753" s="1">
        <v>45344.808344907404</v>
      </c>
      <c r="C753" s="2">
        <v>45345.035221990744</v>
      </c>
      <c r="D753" s="2">
        <v>45345.508816701389</v>
      </c>
      <c r="E753" t="s">
        <v>10</v>
      </c>
      <c r="F753" t="s">
        <v>4</v>
      </c>
      <c r="G753" t="s">
        <v>14</v>
      </c>
      <c r="H753">
        <v>3</v>
      </c>
      <c r="I753">
        <v>7</v>
      </c>
      <c r="J753" t="s">
        <v>39</v>
      </c>
      <c r="K753" t="s">
        <v>46</v>
      </c>
      <c r="L753" t="s">
        <v>93</v>
      </c>
      <c r="M753" t="s">
        <v>850</v>
      </c>
      <c r="N753" t="b">
        <v>0</v>
      </c>
      <c r="O753" t="b">
        <v>0</v>
      </c>
    </row>
    <row r="754" spans="1:15">
      <c r="A754">
        <v>753</v>
      </c>
      <c r="B754" s="1">
        <v>45344.880578703705</v>
      </c>
      <c r="C754" s="2">
        <v>45344.924734930559</v>
      </c>
      <c r="D754" s="2">
        <v>45345.393223344909</v>
      </c>
      <c r="E754" t="s">
        <v>10</v>
      </c>
      <c r="F754" t="s">
        <v>4</v>
      </c>
      <c r="G754" t="s">
        <v>16</v>
      </c>
      <c r="H754">
        <v>2</v>
      </c>
      <c r="I754">
        <v>9</v>
      </c>
      <c r="J754" t="s">
        <v>68</v>
      </c>
      <c r="K754" t="s">
        <v>57</v>
      </c>
      <c r="L754" t="s">
        <v>69</v>
      </c>
      <c r="M754" t="s">
        <v>851</v>
      </c>
      <c r="N754" t="b">
        <v>0</v>
      </c>
      <c r="O754" t="b">
        <v>0</v>
      </c>
    </row>
    <row r="755" spans="1:15">
      <c r="A755">
        <v>754</v>
      </c>
      <c r="B755" s="1">
        <v>45344.912349537037</v>
      </c>
      <c r="C755" s="2">
        <v>45344.966764606485</v>
      </c>
      <c r="D755" s="2">
        <v>45345.425511631947</v>
      </c>
      <c r="E755" t="s">
        <v>10</v>
      </c>
      <c r="F755" t="s">
        <v>4</v>
      </c>
      <c r="G755" t="s">
        <v>14</v>
      </c>
      <c r="H755">
        <v>8</v>
      </c>
      <c r="I755">
        <v>10</v>
      </c>
      <c r="J755" t="s">
        <v>39</v>
      </c>
      <c r="K755" t="s">
        <v>36</v>
      </c>
      <c r="L755" t="s">
        <v>55</v>
      </c>
      <c r="M755" t="s">
        <v>852</v>
      </c>
      <c r="N755" t="b">
        <v>0</v>
      </c>
      <c r="O755" t="b">
        <v>0</v>
      </c>
    </row>
    <row r="756" spans="1:15">
      <c r="A756">
        <v>755</v>
      </c>
      <c r="B756" s="1">
        <v>45344.944803240738</v>
      </c>
      <c r="C756" s="2">
        <v>45345.266329004633</v>
      </c>
      <c r="D756" s="2">
        <v>45345.618765995372</v>
      </c>
      <c r="E756" t="s">
        <v>10</v>
      </c>
      <c r="F756" t="s">
        <v>4</v>
      </c>
      <c r="G756" t="s">
        <v>16</v>
      </c>
      <c r="H756">
        <v>3</v>
      </c>
      <c r="I756">
        <v>9</v>
      </c>
      <c r="J756" t="s">
        <v>52</v>
      </c>
      <c r="K756" t="s">
        <v>46</v>
      </c>
      <c r="L756" t="s">
        <v>134</v>
      </c>
      <c r="M756" t="s">
        <v>853</v>
      </c>
      <c r="N756" t="b">
        <v>0</v>
      </c>
      <c r="O756" t="b">
        <v>0</v>
      </c>
    </row>
    <row r="757" spans="1:15">
      <c r="A757">
        <v>756</v>
      </c>
      <c r="B757" s="1">
        <v>45344.956828703704</v>
      </c>
      <c r="C757" s="2">
        <v>45345.126757615741</v>
      </c>
      <c r="D757" s="2">
        <v>45345.880901226854</v>
      </c>
      <c r="E757" t="s">
        <v>10</v>
      </c>
      <c r="F757" t="s">
        <v>2</v>
      </c>
      <c r="G757" t="s">
        <v>16</v>
      </c>
      <c r="H757">
        <v>4</v>
      </c>
      <c r="I757">
        <v>1</v>
      </c>
      <c r="J757" t="s">
        <v>31</v>
      </c>
      <c r="K757" t="s">
        <v>40</v>
      </c>
      <c r="L757" t="s">
        <v>276</v>
      </c>
      <c r="M757" t="s">
        <v>854</v>
      </c>
      <c r="N757" t="b">
        <v>1</v>
      </c>
      <c r="O757" t="b">
        <v>0</v>
      </c>
    </row>
    <row r="758" spans="1:15">
      <c r="A758">
        <v>757</v>
      </c>
      <c r="B758" s="1">
        <v>45345.153333333335</v>
      </c>
      <c r="C758" s="2">
        <v>45345.182745995371</v>
      </c>
      <c r="D758" s="2">
        <v>45345.304367615739</v>
      </c>
      <c r="E758" t="s">
        <v>9</v>
      </c>
      <c r="F758" t="s">
        <v>4</v>
      </c>
      <c r="G758" t="s">
        <v>15</v>
      </c>
      <c r="H758">
        <v>2</v>
      </c>
      <c r="I758">
        <v>2</v>
      </c>
      <c r="J758" t="s">
        <v>39</v>
      </c>
      <c r="K758" t="s">
        <v>57</v>
      </c>
      <c r="L758" t="s">
        <v>138</v>
      </c>
      <c r="M758" t="s">
        <v>855</v>
      </c>
      <c r="N758" t="b">
        <v>0</v>
      </c>
      <c r="O758" t="b">
        <v>0</v>
      </c>
    </row>
    <row r="759" spans="1:15">
      <c r="A759">
        <v>758</v>
      </c>
      <c r="B759" s="1">
        <v>45345.164050925923</v>
      </c>
      <c r="C759" s="2">
        <v>45345.306788217589</v>
      </c>
      <c r="D759" s="2">
        <v>45346.924788703705</v>
      </c>
      <c r="E759" t="s">
        <v>11</v>
      </c>
      <c r="F759" t="s">
        <v>4</v>
      </c>
      <c r="G759" t="s">
        <v>17</v>
      </c>
      <c r="H759">
        <v>2</v>
      </c>
      <c r="I759">
        <v>9</v>
      </c>
      <c r="J759" t="s">
        <v>52</v>
      </c>
      <c r="K759" t="s">
        <v>57</v>
      </c>
      <c r="L759" t="s">
        <v>58</v>
      </c>
      <c r="M759" t="s">
        <v>59</v>
      </c>
      <c r="N759" t="b">
        <v>0</v>
      </c>
      <c r="O759" t="b">
        <v>0</v>
      </c>
    </row>
    <row r="760" spans="1:15">
      <c r="A760">
        <v>759</v>
      </c>
      <c r="B760" s="1">
        <v>45345.170613425929</v>
      </c>
      <c r="C760" s="2">
        <v>45345.287442581015</v>
      </c>
      <c r="D760" s="2">
        <v>45346.126345289355</v>
      </c>
      <c r="E760" t="s">
        <v>10</v>
      </c>
      <c r="F760" t="s">
        <v>4</v>
      </c>
      <c r="G760" t="s">
        <v>17</v>
      </c>
      <c r="H760">
        <v>2</v>
      </c>
      <c r="I760">
        <v>7</v>
      </c>
      <c r="J760" t="s">
        <v>31</v>
      </c>
      <c r="K760" t="s">
        <v>57</v>
      </c>
      <c r="L760" t="s">
        <v>78</v>
      </c>
      <c r="M760" t="s">
        <v>856</v>
      </c>
      <c r="N760" t="b">
        <v>1</v>
      </c>
      <c r="O760" t="b">
        <v>0</v>
      </c>
    </row>
    <row r="761" spans="1:15">
      <c r="A761">
        <v>760</v>
      </c>
      <c r="B761" s="1">
        <v>45345.252766203703</v>
      </c>
      <c r="C761" s="2">
        <v>45345.30970957176</v>
      </c>
      <c r="D761" s="2">
        <v>45345.887702349537</v>
      </c>
      <c r="E761" t="s">
        <v>10</v>
      </c>
      <c r="F761" t="s">
        <v>4</v>
      </c>
      <c r="G761" t="s">
        <v>17</v>
      </c>
      <c r="H761">
        <v>8</v>
      </c>
      <c r="I761">
        <v>3</v>
      </c>
      <c r="J761" t="s">
        <v>39</v>
      </c>
      <c r="K761" t="s">
        <v>36</v>
      </c>
      <c r="L761" t="s">
        <v>41</v>
      </c>
      <c r="M761" t="s">
        <v>857</v>
      </c>
      <c r="N761" t="b">
        <v>0</v>
      </c>
      <c r="O761" t="b">
        <v>0</v>
      </c>
    </row>
    <row r="762" spans="1:15">
      <c r="A762">
        <v>761</v>
      </c>
      <c r="B762" s="1">
        <v>45345.268252314818</v>
      </c>
      <c r="C762" s="2">
        <v>45345.862190231484</v>
      </c>
      <c r="D762" s="2">
        <v>45346.033747650465</v>
      </c>
      <c r="E762" t="s">
        <v>11</v>
      </c>
      <c r="F762" t="s">
        <v>4</v>
      </c>
      <c r="G762" t="s">
        <v>14</v>
      </c>
      <c r="H762">
        <v>2</v>
      </c>
      <c r="I762">
        <v>4</v>
      </c>
      <c r="J762" t="s">
        <v>31</v>
      </c>
      <c r="K762" t="s">
        <v>57</v>
      </c>
      <c r="L762" t="s">
        <v>81</v>
      </c>
      <c r="M762" t="s">
        <v>858</v>
      </c>
      <c r="N762" t="b">
        <v>0</v>
      </c>
      <c r="O762" t="b">
        <v>0</v>
      </c>
    </row>
    <row r="763" spans="1:15">
      <c r="A763">
        <v>762</v>
      </c>
      <c r="B763" s="1">
        <v>45345.273252314815</v>
      </c>
      <c r="C763" s="2">
        <v>45345.390359236109</v>
      </c>
      <c r="D763" s="2">
        <v>45345.989945844907</v>
      </c>
      <c r="E763" t="s">
        <v>10</v>
      </c>
      <c r="F763" t="s">
        <v>4</v>
      </c>
      <c r="G763" t="s">
        <v>15</v>
      </c>
      <c r="H763">
        <v>5</v>
      </c>
      <c r="I763">
        <v>9</v>
      </c>
      <c r="J763" t="s">
        <v>49</v>
      </c>
      <c r="K763" t="s">
        <v>32</v>
      </c>
      <c r="L763" t="s">
        <v>58</v>
      </c>
      <c r="M763" t="s">
        <v>859</v>
      </c>
      <c r="N763" t="b">
        <v>0</v>
      </c>
      <c r="O763" t="b">
        <v>0</v>
      </c>
    </row>
    <row r="764" spans="1:15">
      <c r="A764">
        <v>763</v>
      </c>
      <c r="B764" s="1">
        <v>45345.296377314815</v>
      </c>
      <c r="C764" s="2">
        <v>45345.568732835651</v>
      </c>
      <c r="D764" s="2">
        <v>45346.083626122687</v>
      </c>
      <c r="E764" t="s">
        <v>10</v>
      </c>
      <c r="F764" t="s">
        <v>4</v>
      </c>
      <c r="G764" t="s">
        <v>15</v>
      </c>
      <c r="H764">
        <v>5</v>
      </c>
      <c r="I764">
        <v>10</v>
      </c>
      <c r="J764" t="s">
        <v>35</v>
      </c>
      <c r="K764" t="s">
        <v>32</v>
      </c>
      <c r="L764" t="s">
        <v>64</v>
      </c>
      <c r="M764" t="s">
        <v>860</v>
      </c>
      <c r="N764" t="b">
        <v>0</v>
      </c>
      <c r="O764" t="b">
        <v>0</v>
      </c>
    </row>
    <row r="765" spans="1:15">
      <c r="A765">
        <v>764</v>
      </c>
      <c r="B765" s="1">
        <v>45345.504421296297</v>
      </c>
      <c r="C765" s="2">
        <v>45345.773292210652</v>
      </c>
      <c r="D765" s="2">
        <v>45346.022312627312</v>
      </c>
      <c r="E765" t="s">
        <v>10</v>
      </c>
      <c r="F765" t="s">
        <v>4</v>
      </c>
      <c r="G765" t="s">
        <v>15</v>
      </c>
      <c r="H765">
        <v>1</v>
      </c>
      <c r="I765">
        <v>9</v>
      </c>
      <c r="J765" t="s">
        <v>52</v>
      </c>
      <c r="K765" t="s">
        <v>71</v>
      </c>
      <c r="L765" t="s">
        <v>89</v>
      </c>
      <c r="M765" t="s">
        <v>861</v>
      </c>
      <c r="N765" t="b">
        <v>0</v>
      </c>
      <c r="O765" t="b">
        <v>0</v>
      </c>
    </row>
    <row r="766" spans="1:15">
      <c r="A766">
        <v>765</v>
      </c>
      <c r="B766" s="1">
        <v>45345.515555555554</v>
      </c>
      <c r="C766" s="2">
        <v>45345.587223912036</v>
      </c>
      <c r="D766" s="2">
        <v>45346.360252430553</v>
      </c>
      <c r="E766" t="s">
        <v>10</v>
      </c>
      <c r="F766" t="s">
        <v>4</v>
      </c>
      <c r="G766" t="s">
        <v>15</v>
      </c>
      <c r="H766">
        <v>3</v>
      </c>
      <c r="I766">
        <v>5</v>
      </c>
      <c r="J766" t="s">
        <v>31</v>
      </c>
      <c r="K766" t="s">
        <v>46</v>
      </c>
      <c r="L766" t="s">
        <v>310</v>
      </c>
      <c r="M766" t="s">
        <v>862</v>
      </c>
      <c r="N766" t="b">
        <v>0</v>
      </c>
      <c r="O766" t="b">
        <v>0</v>
      </c>
    </row>
    <row r="767" spans="1:15">
      <c r="A767">
        <v>766</v>
      </c>
      <c r="B767" s="1">
        <v>45345.521597222221</v>
      </c>
      <c r="C767" s="2">
        <v>45345.574370682873</v>
      </c>
      <c r="D767" s="2">
        <v>45345.561335625003</v>
      </c>
      <c r="E767" t="s">
        <v>8</v>
      </c>
      <c r="F767" t="s">
        <v>4</v>
      </c>
      <c r="G767" t="s">
        <v>17</v>
      </c>
      <c r="H767">
        <v>1</v>
      </c>
      <c r="I767">
        <v>8</v>
      </c>
      <c r="J767" t="s">
        <v>35</v>
      </c>
      <c r="K767" t="s">
        <v>71</v>
      </c>
      <c r="L767" t="s">
        <v>96</v>
      </c>
      <c r="M767" t="s">
        <v>863</v>
      </c>
      <c r="N767" t="b">
        <v>1</v>
      </c>
      <c r="O767" t="b">
        <v>0</v>
      </c>
    </row>
    <row r="768" spans="1:15">
      <c r="A768">
        <v>767</v>
      </c>
      <c r="B768" s="1">
        <v>45345.579988425925</v>
      </c>
      <c r="C768" s="2">
        <v>45345.668897407406</v>
      </c>
      <c r="D768" s="2">
        <v>45348.269842708331</v>
      </c>
      <c r="E768" t="s">
        <v>11</v>
      </c>
      <c r="F768" t="s">
        <v>4</v>
      </c>
      <c r="G768" t="s">
        <v>15</v>
      </c>
      <c r="H768">
        <v>2</v>
      </c>
      <c r="I768">
        <v>1</v>
      </c>
      <c r="J768" t="s">
        <v>49</v>
      </c>
      <c r="K768" t="s">
        <v>57</v>
      </c>
      <c r="L768" t="s">
        <v>131</v>
      </c>
      <c r="M768" t="s">
        <v>864</v>
      </c>
      <c r="N768" t="b">
        <v>0</v>
      </c>
      <c r="O768" t="b">
        <v>0</v>
      </c>
    </row>
    <row r="769" spans="1:15">
      <c r="A769">
        <v>768</v>
      </c>
      <c r="B769" s="1">
        <v>45345.602118055554</v>
      </c>
      <c r="C769" s="2">
        <v>45345.879066921298</v>
      </c>
      <c r="D769" s="2">
        <v>45346.236603206016</v>
      </c>
      <c r="E769" t="s">
        <v>10</v>
      </c>
      <c r="F769" t="s">
        <v>4</v>
      </c>
      <c r="G769" t="s">
        <v>15</v>
      </c>
      <c r="H769">
        <v>6</v>
      </c>
      <c r="I769">
        <v>10</v>
      </c>
      <c r="J769" t="s">
        <v>49</v>
      </c>
      <c r="K769" t="s">
        <v>73</v>
      </c>
      <c r="L769" t="s">
        <v>104</v>
      </c>
      <c r="M769" t="s">
        <v>865</v>
      </c>
      <c r="N769" t="b">
        <v>0</v>
      </c>
      <c r="O769" t="b">
        <v>0</v>
      </c>
    </row>
    <row r="770" spans="1:15">
      <c r="A770">
        <v>769</v>
      </c>
      <c r="B770" s="1">
        <v>45345.60869212963</v>
      </c>
      <c r="C770" s="2">
        <v>45346.322957569442</v>
      </c>
      <c r="D770" s="2">
        <v>45346.573756296297</v>
      </c>
      <c r="E770" t="s">
        <v>11</v>
      </c>
      <c r="F770" t="s">
        <v>4</v>
      </c>
      <c r="G770" t="s">
        <v>17</v>
      </c>
      <c r="H770">
        <v>5</v>
      </c>
      <c r="I770">
        <v>3</v>
      </c>
      <c r="J770" t="s">
        <v>35</v>
      </c>
      <c r="K770" t="s">
        <v>32</v>
      </c>
      <c r="L770" t="s">
        <v>156</v>
      </c>
      <c r="M770" t="s">
        <v>866</v>
      </c>
      <c r="N770" t="b">
        <v>0</v>
      </c>
      <c r="O770" t="b">
        <v>0</v>
      </c>
    </row>
    <row r="771" spans="1:15">
      <c r="A771">
        <v>770</v>
      </c>
      <c r="B771" s="1">
        <v>45345.629699074074</v>
      </c>
      <c r="C771" s="2">
        <v>45346.224228483799</v>
      </c>
      <c r="D771" s="2">
        <v>45347.882189571763</v>
      </c>
      <c r="E771" t="s">
        <v>11</v>
      </c>
      <c r="F771" t="s">
        <v>4</v>
      </c>
      <c r="G771" t="s">
        <v>17</v>
      </c>
      <c r="H771">
        <v>4</v>
      </c>
      <c r="I771">
        <v>10</v>
      </c>
      <c r="J771" t="s">
        <v>68</v>
      </c>
      <c r="K771" t="s">
        <v>40</v>
      </c>
      <c r="L771" t="s">
        <v>75</v>
      </c>
      <c r="M771" t="s">
        <v>867</v>
      </c>
      <c r="N771" t="b">
        <v>0</v>
      </c>
      <c r="O771" t="b">
        <v>0</v>
      </c>
    </row>
    <row r="772" spans="1:15">
      <c r="A772">
        <v>771</v>
      </c>
      <c r="B772" s="1">
        <v>45345.729791666665</v>
      </c>
      <c r="C772" s="2">
        <v>45345.784118414354</v>
      </c>
      <c r="D772" s="2">
        <v>45345.821477777776</v>
      </c>
      <c r="E772" t="s">
        <v>8</v>
      </c>
      <c r="F772" t="s">
        <v>4</v>
      </c>
      <c r="G772" t="s">
        <v>17</v>
      </c>
      <c r="H772">
        <v>2</v>
      </c>
      <c r="I772">
        <v>1</v>
      </c>
      <c r="J772" t="s">
        <v>52</v>
      </c>
      <c r="K772" t="s">
        <v>57</v>
      </c>
      <c r="L772" t="s">
        <v>250</v>
      </c>
      <c r="M772" t="s">
        <v>868</v>
      </c>
      <c r="N772" t="b">
        <v>1</v>
      </c>
      <c r="O772" t="b">
        <v>0</v>
      </c>
    </row>
    <row r="773" spans="1:15">
      <c r="A773">
        <v>772</v>
      </c>
      <c r="B773" s="1">
        <v>45345.849305555559</v>
      </c>
      <c r="C773" s="2">
        <v>45346.007086678241</v>
      </c>
      <c r="D773" s="2">
        <v>45346.924370451386</v>
      </c>
      <c r="E773" t="s">
        <v>11</v>
      </c>
      <c r="F773" t="s">
        <v>4</v>
      </c>
      <c r="G773" t="s">
        <v>15</v>
      </c>
      <c r="H773">
        <v>5</v>
      </c>
      <c r="I773">
        <v>10</v>
      </c>
      <c r="J773" t="s">
        <v>39</v>
      </c>
      <c r="K773" t="s">
        <v>32</v>
      </c>
      <c r="L773" t="s">
        <v>89</v>
      </c>
      <c r="M773" t="s">
        <v>869</v>
      </c>
      <c r="N773" t="b">
        <v>0</v>
      </c>
      <c r="O773" t="b">
        <v>0</v>
      </c>
    </row>
    <row r="774" spans="1:15">
      <c r="A774">
        <v>773</v>
      </c>
      <c r="B774" s="1">
        <v>45345.886435185188</v>
      </c>
      <c r="C774" s="2">
        <v>45345.952555416668</v>
      </c>
      <c r="D774" s="2">
        <v>45346.001027743056</v>
      </c>
      <c r="E774" t="s">
        <v>9</v>
      </c>
      <c r="F774" t="s">
        <v>4</v>
      </c>
      <c r="G774" t="s">
        <v>16</v>
      </c>
      <c r="H774">
        <v>8</v>
      </c>
      <c r="I774">
        <v>6</v>
      </c>
      <c r="J774" t="s">
        <v>39</v>
      </c>
      <c r="K774" t="s">
        <v>36</v>
      </c>
      <c r="L774" t="s">
        <v>37</v>
      </c>
      <c r="M774" t="s">
        <v>870</v>
      </c>
      <c r="N774" t="b">
        <v>0</v>
      </c>
      <c r="O774" t="b">
        <v>0</v>
      </c>
    </row>
    <row r="775" spans="1:15">
      <c r="A775">
        <v>774</v>
      </c>
      <c r="B775" s="1">
        <v>45346.033634259256</v>
      </c>
      <c r="C775" s="2">
        <v>45346.113559872683</v>
      </c>
      <c r="D775" s="2">
        <v>45346.843146342595</v>
      </c>
      <c r="E775" t="s">
        <v>10</v>
      </c>
      <c r="F775" t="s">
        <v>4</v>
      </c>
      <c r="G775" t="s">
        <v>15</v>
      </c>
      <c r="H775">
        <v>7</v>
      </c>
      <c r="I775">
        <v>6</v>
      </c>
      <c r="J775" t="s">
        <v>52</v>
      </c>
      <c r="K775" t="s">
        <v>43</v>
      </c>
      <c r="L775" t="s">
        <v>310</v>
      </c>
      <c r="M775" t="s">
        <v>871</v>
      </c>
      <c r="N775" t="b">
        <v>0</v>
      </c>
      <c r="O775" t="b">
        <v>0</v>
      </c>
    </row>
    <row r="776" spans="1:15">
      <c r="A776">
        <v>775</v>
      </c>
      <c r="B776" s="1">
        <v>45346.068124999998</v>
      </c>
      <c r="C776" s="2">
        <v>45346.174958981479</v>
      </c>
      <c r="D776" s="2">
        <v>45347.160508437497</v>
      </c>
      <c r="E776" t="s">
        <v>11</v>
      </c>
      <c r="F776" t="s">
        <v>2</v>
      </c>
      <c r="G776" t="s">
        <v>17</v>
      </c>
      <c r="H776">
        <v>2</v>
      </c>
      <c r="I776">
        <v>7</v>
      </c>
      <c r="J776" t="s">
        <v>31</v>
      </c>
      <c r="K776" t="s">
        <v>57</v>
      </c>
      <c r="L776" t="s">
        <v>78</v>
      </c>
      <c r="M776" t="s">
        <v>872</v>
      </c>
      <c r="N776" t="b">
        <v>0</v>
      </c>
      <c r="O776" t="b">
        <v>0</v>
      </c>
    </row>
    <row r="777" spans="1:15">
      <c r="A777">
        <v>776</v>
      </c>
      <c r="B777" s="1">
        <v>45346.07675925926</v>
      </c>
      <c r="C777" s="2">
        <v>45346.181189918978</v>
      </c>
      <c r="D777" s="2">
        <v>45346.277336516207</v>
      </c>
      <c r="E777" t="s">
        <v>9</v>
      </c>
      <c r="F777" t="s">
        <v>4</v>
      </c>
      <c r="G777" t="s">
        <v>16</v>
      </c>
      <c r="H777">
        <v>6</v>
      </c>
      <c r="I777">
        <v>5</v>
      </c>
      <c r="J777" t="s">
        <v>52</v>
      </c>
      <c r="K777" t="s">
        <v>73</v>
      </c>
      <c r="L777" t="s">
        <v>174</v>
      </c>
      <c r="M777" t="s">
        <v>873</v>
      </c>
      <c r="N777" t="b">
        <v>0</v>
      </c>
      <c r="O777" t="b">
        <v>0</v>
      </c>
    </row>
    <row r="778" spans="1:15">
      <c r="A778">
        <v>777</v>
      </c>
      <c r="B778" s="1">
        <v>45346.081238425926</v>
      </c>
      <c r="C778" s="2">
        <v>45346.732198495367</v>
      </c>
      <c r="D778" s="2">
        <v>45348.066772650462</v>
      </c>
      <c r="E778" t="s">
        <v>11</v>
      </c>
      <c r="F778" t="s">
        <v>2</v>
      </c>
      <c r="G778" t="s">
        <v>16</v>
      </c>
      <c r="H778">
        <v>2</v>
      </c>
      <c r="I778">
        <v>10</v>
      </c>
      <c r="J778" t="s">
        <v>49</v>
      </c>
      <c r="K778" t="s">
        <v>57</v>
      </c>
      <c r="L778" t="s">
        <v>284</v>
      </c>
      <c r="M778" t="s">
        <v>874</v>
      </c>
      <c r="N778" t="b">
        <v>0</v>
      </c>
      <c r="O778" t="b">
        <v>0</v>
      </c>
    </row>
    <row r="779" spans="1:15">
      <c r="A779">
        <v>778</v>
      </c>
      <c r="B779" s="1">
        <v>45346.23101851852</v>
      </c>
      <c r="C779" s="2">
        <v>45346.529662407411</v>
      </c>
      <c r="D779" s="2">
        <v>45346.641551168985</v>
      </c>
      <c r="E779" t="s">
        <v>10</v>
      </c>
      <c r="F779" t="s">
        <v>4</v>
      </c>
      <c r="G779" t="s">
        <v>17</v>
      </c>
      <c r="H779">
        <v>7</v>
      </c>
      <c r="I779">
        <v>2</v>
      </c>
      <c r="J779" t="s">
        <v>31</v>
      </c>
      <c r="K779" t="s">
        <v>43</v>
      </c>
      <c r="L779" t="s">
        <v>156</v>
      </c>
      <c r="M779" t="s">
        <v>875</v>
      </c>
      <c r="N779" t="b">
        <v>0</v>
      </c>
      <c r="O779" t="b">
        <v>0</v>
      </c>
    </row>
    <row r="780" spans="1:15">
      <c r="A780">
        <v>779</v>
      </c>
      <c r="B780" s="1">
        <v>45346.240601851852</v>
      </c>
      <c r="C780" s="2">
        <v>45346.439994259257</v>
      </c>
      <c r="D780" s="2">
        <v>45347.077971979168</v>
      </c>
      <c r="E780" t="s">
        <v>10</v>
      </c>
      <c r="F780" t="s">
        <v>4</v>
      </c>
      <c r="G780" t="s">
        <v>15</v>
      </c>
      <c r="H780">
        <v>4</v>
      </c>
      <c r="I780">
        <v>7</v>
      </c>
      <c r="J780" t="s">
        <v>35</v>
      </c>
      <c r="K780" t="s">
        <v>40</v>
      </c>
      <c r="L780" t="s">
        <v>188</v>
      </c>
      <c r="M780" t="s">
        <v>876</v>
      </c>
      <c r="N780" t="b">
        <v>0</v>
      </c>
      <c r="O780" t="b">
        <v>0</v>
      </c>
    </row>
    <row r="781" spans="1:15">
      <c r="A781">
        <v>780</v>
      </c>
      <c r="B781" s="1">
        <v>45346.267858796295</v>
      </c>
      <c r="C781" s="2">
        <v>45346.309545219905</v>
      </c>
      <c r="D781" s="2">
        <v>45346.323741319444</v>
      </c>
      <c r="E781" t="s">
        <v>8</v>
      </c>
      <c r="F781" t="s">
        <v>2</v>
      </c>
      <c r="G781" t="s">
        <v>14</v>
      </c>
      <c r="H781">
        <v>6</v>
      </c>
      <c r="I781">
        <v>3</v>
      </c>
      <c r="J781" t="s">
        <v>31</v>
      </c>
      <c r="K781" t="s">
        <v>73</v>
      </c>
      <c r="L781" t="s">
        <v>158</v>
      </c>
      <c r="M781" t="s">
        <v>877</v>
      </c>
      <c r="N781" t="b">
        <v>1</v>
      </c>
      <c r="O781" t="b">
        <v>0</v>
      </c>
    </row>
    <row r="782" spans="1:15">
      <c r="A782">
        <v>781</v>
      </c>
      <c r="B782" s="1">
        <v>45346.333090277774</v>
      </c>
      <c r="C782" s="2">
        <v>45346.664546597225</v>
      </c>
      <c r="D782" s="2">
        <v>45346.988978969908</v>
      </c>
      <c r="E782" t="s">
        <v>10</v>
      </c>
      <c r="F782" t="s">
        <v>2</v>
      </c>
      <c r="G782" t="s">
        <v>17</v>
      </c>
      <c r="H782">
        <v>5</v>
      </c>
      <c r="I782">
        <v>1</v>
      </c>
      <c r="J782" t="s">
        <v>39</v>
      </c>
      <c r="K782" t="s">
        <v>32</v>
      </c>
      <c r="L782" t="s">
        <v>276</v>
      </c>
      <c r="M782" t="s">
        <v>878</v>
      </c>
      <c r="N782" t="b">
        <v>0</v>
      </c>
      <c r="O782" t="b">
        <v>0</v>
      </c>
    </row>
    <row r="783" spans="1:15">
      <c r="A783">
        <v>782</v>
      </c>
      <c r="B783" s="1">
        <v>45346.416064814817</v>
      </c>
      <c r="C783" s="2">
        <v>45346.575563020837</v>
      </c>
      <c r="D783" s="2">
        <v>45346.836318391201</v>
      </c>
      <c r="E783" t="s">
        <v>10</v>
      </c>
      <c r="F783" t="s">
        <v>4</v>
      </c>
      <c r="G783" t="s">
        <v>14</v>
      </c>
      <c r="H783">
        <v>6</v>
      </c>
      <c r="I783">
        <v>7</v>
      </c>
      <c r="J783" t="s">
        <v>68</v>
      </c>
      <c r="K783" t="s">
        <v>73</v>
      </c>
      <c r="L783" t="s">
        <v>85</v>
      </c>
      <c r="M783" t="s">
        <v>879</v>
      </c>
      <c r="N783" t="b">
        <v>0</v>
      </c>
      <c r="O783" t="b">
        <v>0</v>
      </c>
    </row>
    <row r="784" spans="1:15">
      <c r="A784">
        <v>783</v>
      </c>
      <c r="B784" s="1">
        <v>45346.441921296297</v>
      </c>
      <c r="C784" s="2">
        <v>45346.717554988427</v>
      </c>
      <c r="D784" s="2">
        <v>45347.0574653125</v>
      </c>
      <c r="E784" t="s">
        <v>10</v>
      </c>
      <c r="F784" t="s">
        <v>4</v>
      </c>
      <c r="G784" t="s">
        <v>17</v>
      </c>
      <c r="H784">
        <v>8</v>
      </c>
      <c r="I784">
        <v>7</v>
      </c>
      <c r="J784" t="s">
        <v>39</v>
      </c>
      <c r="K784" t="s">
        <v>36</v>
      </c>
      <c r="L784" t="s">
        <v>55</v>
      </c>
      <c r="M784" t="s">
        <v>880</v>
      </c>
      <c r="N784" t="b">
        <v>0</v>
      </c>
      <c r="O784" t="b">
        <v>0</v>
      </c>
    </row>
    <row r="785" spans="1:15">
      <c r="A785">
        <v>784</v>
      </c>
      <c r="B785" s="1">
        <v>45346.534189814818</v>
      </c>
      <c r="C785" s="2">
        <v>45346.790059525461</v>
      </c>
      <c r="D785" s="2">
        <v>45347.057200555559</v>
      </c>
      <c r="E785" t="s">
        <v>10</v>
      </c>
      <c r="F785" t="s">
        <v>4</v>
      </c>
      <c r="G785" t="s">
        <v>16</v>
      </c>
      <c r="H785">
        <v>2</v>
      </c>
      <c r="I785">
        <v>2</v>
      </c>
      <c r="J785" t="s">
        <v>35</v>
      </c>
      <c r="K785" t="s">
        <v>57</v>
      </c>
      <c r="L785" t="s">
        <v>200</v>
      </c>
      <c r="M785" t="s">
        <v>881</v>
      </c>
      <c r="N785" t="b">
        <v>0</v>
      </c>
      <c r="O785" t="b">
        <v>0</v>
      </c>
    </row>
    <row r="786" spans="1:15">
      <c r="A786">
        <v>785</v>
      </c>
      <c r="B786" s="1">
        <v>45346.658391203702</v>
      </c>
      <c r="C786" s="2">
        <v>45346.666851909722</v>
      </c>
      <c r="D786" s="2">
        <v>45346.740116967594</v>
      </c>
      <c r="E786" t="s">
        <v>8</v>
      </c>
      <c r="F786" t="s">
        <v>4</v>
      </c>
      <c r="G786" t="s">
        <v>16</v>
      </c>
      <c r="H786">
        <v>8</v>
      </c>
      <c r="I786">
        <v>8</v>
      </c>
      <c r="J786" t="s">
        <v>68</v>
      </c>
      <c r="K786" t="s">
        <v>36</v>
      </c>
      <c r="L786" t="s">
        <v>221</v>
      </c>
      <c r="M786" t="s">
        <v>882</v>
      </c>
      <c r="N786" t="b">
        <v>1</v>
      </c>
      <c r="O786" t="b">
        <v>0</v>
      </c>
    </row>
    <row r="787" spans="1:15">
      <c r="A787">
        <v>786</v>
      </c>
      <c r="B787" s="1">
        <v>45346.660752314812</v>
      </c>
      <c r="C787" s="2">
        <v>45346.784304814813</v>
      </c>
      <c r="D787" s="2">
        <v>45348.611549490743</v>
      </c>
      <c r="E787" t="s">
        <v>11</v>
      </c>
      <c r="F787" t="s">
        <v>4</v>
      </c>
      <c r="G787" t="s">
        <v>14</v>
      </c>
      <c r="H787">
        <v>4</v>
      </c>
      <c r="I787">
        <v>10</v>
      </c>
      <c r="J787" t="s">
        <v>49</v>
      </c>
      <c r="K787" t="s">
        <v>40</v>
      </c>
      <c r="L787" t="s">
        <v>69</v>
      </c>
      <c r="M787" t="s">
        <v>883</v>
      </c>
      <c r="N787" t="b">
        <v>0</v>
      </c>
      <c r="O787" t="b">
        <v>0</v>
      </c>
    </row>
    <row r="788" spans="1:15">
      <c r="A788">
        <v>787</v>
      </c>
      <c r="B788" s="1">
        <v>45346.664537037039</v>
      </c>
      <c r="C788" s="2">
        <v>45346.709093715275</v>
      </c>
      <c r="D788" s="2">
        <v>45347.213239560188</v>
      </c>
      <c r="E788" t="s">
        <v>10</v>
      </c>
      <c r="F788" t="s">
        <v>4</v>
      </c>
      <c r="G788" t="s">
        <v>16</v>
      </c>
      <c r="H788">
        <v>2</v>
      </c>
      <c r="I788">
        <v>7</v>
      </c>
      <c r="J788" t="s">
        <v>35</v>
      </c>
      <c r="K788" t="s">
        <v>57</v>
      </c>
      <c r="L788" t="s">
        <v>302</v>
      </c>
      <c r="M788" t="s">
        <v>884</v>
      </c>
      <c r="N788" t="b">
        <v>0</v>
      </c>
      <c r="O788" t="b">
        <v>0</v>
      </c>
    </row>
    <row r="789" spans="1:15">
      <c r="A789">
        <v>788</v>
      </c>
      <c r="B789" s="1">
        <v>45346.796712962961</v>
      </c>
      <c r="C789" s="2">
        <v>45347.079537534722</v>
      </c>
      <c r="D789" s="2">
        <v>45347.602065555555</v>
      </c>
      <c r="E789" t="s">
        <v>10</v>
      </c>
      <c r="F789" t="s">
        <v>4</v>
      </c>
      <c r="G789" t="s">
        <v>17</v>
      </c>
      <c r="H789">
        <v>4</v>
      </c>
      <c r="I789">
        <v>3</v>
      </c>
      <c r="J789" t="s">
        <v>52</v>
      </c>
      <c r="K789" t="s">
        <v>40</v>
      </c>
      <c r="L789" t="s">
        <v>96</v>
      </c>
      <c r="M789" t="s">
        <v>885</v>
      </c>
      <c r="N789" t="b">
        <v>0</v>
      </c>
      <c r="O789" t="b">
        <v>0</v>
      </c>
    </row>
    <row r="790" spans="1:15">
      <c r="A790">
        <v>789</v>
      </c>
      <c r="B790" s="1">
        <v>45346.947916666664</v>
      </c>
      <c r="C790" s="2">
        <v>45347.06774810185</v>
      </c>
      <c r="D790" s="2">
        <v>45347.957186446758</v>
      </c>
      <c r="E790" t="s">
        <v>11</v>
      </c>
      <c r="F790" t="s">
        <v>4</v>
      </c>
      <c r="G790" t="s">
        <v>15</v>
      </c>
      <c r="H790">
        <v>1</v>
      </c>
      <c r="I790">
        <v>1</v>
      </c>
      <c r="J790" t="s">
        <v>68</v>
      </c>
      <c r="K790" t="s">
        <v>71</v>
      </c>
      <c r="L790" t="s">
        <v>174</v>
      </c>
      <c r="M790" t="s">
        <v>886</v>
      </c>
      <c r="N790" t="b">
        <v>0</v>
      </c>
      <c r="O790" t="b">
        <v>0</v>
      </c>
    </row>
    <row r="791" spans="1:15">
      <c r="A791">
        <v>790</v>
      </c>
      <c r="B791" s="1">
        <v>45347.014884259261</v>
      </c>
      <c r="C791" s="2">
        <v>45347.610040902779</v>
      </c>
      <c r="D791" s="2">
        <v>45349.927603460645</v>
      </c>
      <c r="E791" t="s">
        <v>11</v>
      </c>
      <c r="F791" t="s">
        <v>4</v>
      </c>
      <c r="G791" t="s">
        <v>17</v>
      </c>
      <c r="H791">
        <v>5</v>
      </c>
      <c r="I791">
        <v>1</v>
      </c>
      <c r="J791" t="s">
        <v>68</v>
      </c>
      <c r="K791" t="s">
        <v>32</v>
      </c>
      <c r="L791" t="s">
        <v>66</v>
      </c>
      <c r="M791" t="s">
        <v>887</v>
      </c>
      <c r="N791" t="b">
        <v>1</v>
      </c>
      <c r="O791" t="b">
        <v>0</v>
      </c>
    </row>
    <row r="792" spans="1:15">
      <c r="A792">
        <v>791</v>
      </c>
      <c r="B792" s="1">
        <v>45347.0547337963</v>
      </c>
      <c r="C792" s="2">
        <v>45347.556426064817</v>
      </c>
      <c r="D792" s="2">
        <v>45348.657004305554</v>
      </c>
      <c r="E792" t="s">
        <v>11</v>
      </c>
      <c r="F792" t="s">
        <v>4</v>
      </c>
      <c r="G792" t="s">
        <v>17</v>
      </c>
      <c r="H792">
        <v>4</v>
      </c>
      <c r="I792">
        <v>7</v>
      </c>
      <c r="J792" t="s">
        <v>31</v>
      </c>
      <c r="K792" t="s">
        <v>40</v>
      </c>
      <c r="L792" t="s">
        <v>284</v>
      </c>
      <c r="M792" t="s">
        <v>888</v>
      </c>
      <c r="N792" t="b">
        <v>0</v>
      </c>
      <c r="O792" t="b">
        <v>0</v>
      </c>
    </row>
    <row r="793" spans="1:15">
      <c r="A793">
        <v>792</v>
      </c>
      <c r="B793" s="1">
        <v>45347.106539351851</v>
      </c>
      <c r="C793" s="2">
        <v>45347.491200486111</v>
      </c>
      <c r="D793" s="2">
        <v>45348.8869494213</v>
      </c>
      <c r="E793" t="s">
        <v>11</v>
      </c>
      <c r="F793" t="s">
        <v>2</v>
      </c>
      <c r="G793" t="s">
        <v>17</v>
      </c>
      <c r="H793">
        <v>4</v>
      </c>
      <c r="I793">
        <v>3</v>
      </c>
      <c r="J793" t="s">
        <v>35</v>
      </c>
      <c r="K793" t="s">
        <v>40</v>
      </c>
      <c r="L793" t="s">
        <v>78</v>
      </c>
      <c r="M793" t="s">
        <v>889</v>
      </c>
      <c r="N793" t="b">
        <v>0</v>
      </c>
      <c r="O793" t="b">
        <v>0</v>
      </c>
    </row>
    <row r="794" spans="1:15">
      <c r="A794">
        <v>793</v>
      </c>
      <c r="B794" s="1">
        <v>45347.167615740742</v>
      </c>
      <c r="C794" s="2">
        <v>45347.435940185183</v>
      </c>
      <c r="D794" s="2">
        <v>45347.826382777777</v>
      </c>
      <c r="E794" t="s">
        <v>10</v>
      </c>
      <c r="F794" t="s">
        <v>2</v>
      </c>
      <c r="G794" t="s">
        <v>15</v>
      </c>
      <c r="H794">
        <v>4</v>
      </c>
      <c r="I794">
        <v>4</v>
      </c>
      <c r="J794" t="s">
        <v>31</v>
      </c>
      <c r="K794" t="s">
        <v>40</v>
      </c>
      <c r="L794" t="s">
        <v>106</v>
      </c>
      <c r="M794" t="s">
        <v>890</v>
      </c>
      <c r="N794" t="b">
        <v>0</v>
      </c>
      <c r="O794" t="b">
        <v>0</v>
      </c>
    </row>
    <row r="795" spans="1:15">
      <c r="A795">
        <v>794</v>
      </c>
      <c r="B795" s="1">
        <v>45347.232627314814</v>
      </c>
      <c r="C795" s="2">
        <v>45347.280398298608</v>
      </c>
      <c r="D795" s="2">
        <v>45347.562116666668</v>
      </c>
      <c r="E795" t="s">
        <v>10</v>
      </c>
      <c r="F795" t="s">
        <v>4</v>
      </c>
      <c r="G795" t="s">
        <v>17</v>
      </c>
      <c r="H795">
        <v>5</v>
      </c>
      <c r="I795">
        <v>1</v>
      </c>
      <c r="J795" t="s">
        <v>39</v>
      </c>
      <c r="K795" t="s">
        <v>32</v>
      </c>
      <c r="L795" t="s">
        <v>41</v>
      </c>
      <c r="M795" t="s">
        <v>891</v>
      </c>
      <c r="N795" t="b">
        <v>0</v>
      </c>
      <c r="O795" t="b">
        <v>0</v>
      </c>
    </row>
    <row r="796" spans="1:15">
      <c r="A796">
        <v>795</v>
      </c>
      <c r="B796" s="1">
        <v>45347.259976851848</v>
      </c>
      <c r="C796" s="2">
        <v>45348.040711608795</v>
      </c>
      <c r="D796" s="2">
        <v>45348.49319296296</v>
      </c>
      <c r="E796" t="s">
        <v>11</v>
      </c>
      <c r="F796" t="s">
        <v>4</v>
      </c>
      <c r="G796" t="s">
        <v>15</v>
      </c>
      <c r="H796">
        <v>7</v>
      </c>
      <c r="I796">
        <v>5</v>
      </c>
      <c r="J796" t="s">
        <v>39</v>
      </c>
      <c r="K796" t="s">
        <v>43</v>
      </c>
      <c r="L796" t="s">
        <v>85</v>
      </c>
      <c r="M796" t="s">
        <v>892</v>
      </c>
      <c r="N796" t="b">
        <v>0</v>
      </c>
      <c r="O796" t="b">
        <v>0</v>
      </c>
    </row>
    <row r="797" spans="1:15">
      <c r="A797">
        <v>796</v>
      </c>
      <c r="B797" s="1">
        <v>45347.463530092595</v>
      </c>
      <c r="C797" s="2">
        <v>45347.568370694447</v>
      </c>
      <c r="D797" s="2">
        <v>45347.656047604163</v>
      </c>
      <c r="E797" t="s">
        <v>9</v>
      </c>
      <c r="F797" t="s">
        <v>4</v>
      </c>
      <c r="G797" t="s">
        <v>14</v>
      </c>
      <c r="H797">
        <v>4</v>
      </c>
      <c r="I797">
        <v>2</v>
      </c>
      <c r="J797" t="s">
        <v>39</v>
      </c>
      <c r="K797" t="s">
        <v>40</v>
      </c>
      <c r="L797" t="s">
        <v>138</v>
      </c>
      <c r="M797" t="s">
        <v>893</v>
      </c>
      <c r="N797" t="b">
        <v>0</v>
      </c>
      <c r="O797" t="b">
        <v>0</v>
      </c>
    </row>
    <row r="798" spans="1:15">
      <c r="A798">
        <v>797</v>
      </c>
      <c r="B798" s="1">
        <v>45347.510439814818</v>
      </c>
      <c r="C798" s="2">
        <v>45348.067842986115</v>
      </c>
      <c r="D798" s="2">
        <v>45348.532238032407</v>
      </c>
      <c r="E798" t="s">
        <v>11</v>
      </c>
      <c r="F798" t="s">
        <v>4</v>
      </c>
      <c r="G798" t="s">
        <v>16</v>
      </c>
      <c r="H798">
        <v>1</v>
      </c>
      <c r="I798">
        <v>5</v>
      </c>
      <c r="J798" t="s">
        <v>39</v>
      </c>
      <c r="K798" t="s">
        <v>71</v>
      </c>
      <c r="L798" t="s">
        <v>78</v>
      </c>
      <c r="M798" t="s">
        <v>894</v>
      </c>
      <c r="N798" t="b">
        <v>0</v>
      </c>
      <c r="O798" t="b">
        <v>0</v>
      </c>
    </row>
    <row r="799" spans="1:15">
      <c r="A799">
        <v>798</v>
      </c>
      <c r="B799" s="1">
        <v>45347.538564814815</v>
      </c>
      <c r="C799" s="2">
        <v>45347.549286215275</v>
      </c>
      <c r="D799" s="2">
        <v>45347.663466064812</v>
      </c>
      <c r="E799" t="s">
        <v>8</v>
      </c>
      <c r="F799" t="s">
        <v>2</v>
      </c>
      <c r="G799" t="s">
        <v>15</v>
      </c>
      <c r="H799">
        <v>5</v>
      </c>
      <c r="I799">
        <v>6</v>
      </c>
      <c r="J799" t="s">
        <v>49</v>
      </c>
      <c r="K799" t="s">
        <v>32</v>
      </c>
      <c r="L799" t="s">
        <v>66</v>
      </c>
      <c r="M799" t="s">
        <v>895</v>
      </c>
      <c r="N799" t="b">
        <v>1</v>
      </c>
      <c r="O799" t="b">
        <v>0</v>
      </c>
    </row>
    <row r="800" spans="1:15">
      <c r="A800">
        <v>799</v>
      </c>
      <c r="B800" s="1">
        <v>45347.643113425926</v>
      </c>
      <c r="C800" s="2">
        <v>45348.20445646991</v>
      </c>
      <c r="D800" s="2">
        <v>45349.738231759256</v>
      </c>
      <c r="E800" t="s">
        <v>11</v>
      </c>
      <c r="F800" t="s">
        <v>4</v>
      </c>
      <c r="G800" t="s">
        <v>14</v>
      </c>
      <c r="H800">
        <v>8</v>
      </c>
      <c r="I800">
        <v>10</v>
      </c>
      <c r="J800" t="s">
        <v>39</v>
      </c>
      <c r="K800" t="s">
        <v>36</v>
      </c>
      <c r="L800" t="s">
        <v>136</v>
      </c>
      <c r="M800" t="s">
        <v>896</v>
      </c>
      <c r="N800" t="b">
        <v>0</v>
      </c>
      <c r="O800" t="b">
        <v>0</v>
      </c>
    </row>
    <row r="801" spans="1:15">
      <c r="A801">
        <v>800</v>
      </c>
      <c r="B801" s="1">
        <v>45347.853379629632</v>
      </c>
      <c r="C801" s="2">
        <v>45348.562328993059</v>
      </c>
      <c r="D801" s="2">
        <v>45350.622882025462</v>
      </c>
      <c r="E801" t="s">
        <v>11</v>
      </c>
      <c r="F801" t="s">
        <v>4</v>
      </c>
      <c r="G801" t="s">
        <v>15</v>
      </c>
      <c r="H801">
        <v>4</v>
      </c>
      <c r="I801">
        <v>3</v>
      </c>
      <c r="J801" t="s">
        <v>39</v>
      </c>
      <c r="K801" t="s">
        <v>40</v>
      </c>
      <c r="L801" t="s">
        <v>85</v>
      </c>
      <c r="M801" t="s">
        <v>897</v>
      </c>
      <c r="N801" t="b">
        <v>1</v>
      </c>
      <c r="O801" t="b">
        <v>0</v>
      </c>
    </row>
    <row r="802" spans="1:15">
      <c r="A802">
        <v>801</v>
      </c>
      <c r="B802" s="1">
        <v>45347.878032407411</v>
      </c>
      <c r="C802" s="2">
        <v>45348.125724317128</v>
      </c>
      <c r="E802" t="s">
        <v>10</v>
      </c>
      <c r="F802" t="s">
        <v>3</v>
      </c>
      <c r="G802" t="s">
        <v>17</v>
      </c>
      <c r="H802">
        <v>1</v>
      </c>
      <c r="I802">
        <v>4</v>
      </c>
      <c r="J802" t="s">
        <v>35</v>
      </c>
      <c r="K802" t="s">
        <v>71</v>
      </c>
      <c r="L802" t="s">
        <v>89</v>
      </c>
      <c r="M802" t="s">
        <v>898</v>
      </c>
      <c r="N802" t="b">
        <v>0</v>
      </c>
      <c r="O802" t="b">
        <v>0</v>
      </c>
    </row>
    <row r="803" spans="1:15">
      <c r="A803">
        <v>802</v>
      </c>
      <c r="B803" s="1">
        <v>45347.936863425923</v>
      </c>
      <c r="C803" s="2">
        <v>45348.242077037037</v>
      </c>
      <c r="D803" s="2">
        <v>45348.789438877313</v>
      </c>
      <c r="E803" t="s">
        <v>10</v>
      </c>
      <c r="F803" t="s">
        <v>4</v>
      </c>
      <c r="G803" t="s">
        <v>16</v>
      </c>
      <c r="H803">
        <v>8</v>
      </c>
      <c r="I803">
        <v>9</v>
      </c>
      <c r="J803" t="s">
        <v>68</v>
      </c>
      <c r="K803" t="s">
        <v>36</v>
      </c>
      <c r="L803" t="s">
        <v>200</v>
      </c>
      <c r="M803" t="s">
        <v>899</v>
      </c>
      <c r="N803" t="b">
        <v>0</v>
      </c>
      <c r="O803" t="b">
        <v>0</v>
      </c>
    </row>
    <row r="804" spans="1:15">
      <c r="A804">
        <v>803</v>
      </c>
      <c r="B804" s="1">
        <v>45347.979548611111</v>
      </c>
      <c r="C804" s="2">
        <v>45348.329910300927</v>
      </c>
      <c r="E804" t="s">
        <v>11</v>
      </c>
      <c r="F804" t="s">
        <v>3</v>
      </c>
      <c r="G804" t="s">
        <v>15</v>
      </c>
      <c r="H804">
        <v>4</v>
      </c>
      <c r="I804">
        <v>10</v>
      </c>
      <c r="J804" t="s">
        <v>68</v>
      </c>
      <c r="K804" t="s">
        <v>40</v>
      </c>
      <c r="L804" t="s">
        <v>127</v>
      </c>
      <c r="M804" t="s">
        <v>900</v>
      </c>
      <c r="N804" t="b">
        <v>0</v>
      </c>
      <c r="O804" t="b">
        <v>0</v>
      </c>
    </row>
    <row r="805" spans="1:15">
      <c r="A805">
        <v>804</v>
      </c>
      <c r="B805" s="1">
        <v>45348.062928240739</v>
      </c>
      <c r="C805" s="2">
        <v>45348.48427641204</v>
      </c>
      <c r="D805" s="2">
        <v>45350.09440746528</v>
      </c>
      <c r="E805" t="s">
        <v>11</v>
      </c>
      <c r="F805" t="s">
        <v>4</v>
      </c>
      <c r="G805" t="s">
        <v>15</v>
      </c>
      <c r="H805">
        <v>3</v>
      </c>
      <c r="I805">
        <v>5</v>
      </c>
      <c r="J805" t="s">
        <v>35</v>
      </c>
      <c r="K805" t="s">
        <v>46</v>
      </c>
      <c r="L805" t="s">
        <v>85</v>
      </c>
      <c r="M805" t="s">
        <v>901</v>
      </c>
      <c r="N805" t="b">
        <v>0</v>
      </c>
      <c r="O805" t="b">
        <v>0</v>
      </c>
    </row>
    <row r="806" spans="1:15">
      <c r="A806">
        <v>805</v>
      </c>
      <c r="B806" s="1">
        <v>45348.278298611112</v>
      </c>
      <c r="C806" s="2">
        <v>45348.792596666666</v>
      </c>
      <c r="D806" s="2">
        <v>45349.06204326389</v>
      </c>
      <c r="E806" t="s">
        <v>11</v>
      </c>
      <c r="F806" t="s">
        <v>4</v>
      </c>
      <c r="G806" t="s">
        <v>16</v>
      </c>
      <c r="H806">
        <v>3</v>
      </c>
      <c r="I806">
        <v>4</v>
      </c>
      <c r="J806" t="s">
        <v>39</v>
      </c>
      <c r="K806" t="s">
        <v>46</v>
      </c>
      <c r="L806" t="s">
        <v>213</v>
      </c>
      <c r="M806" t="s">
        <v>902</v>
      </c>
      <c r="N806" t="b">
        <v>0</v>
      </c>
      <c r="O806" t="b">
        <v>0</v>
      </c>
    </row>
    <row r="807" spans="1:15">
      <c r="A807">
        <v>806</v>
      </c>
      <c r="B807" s="1">
        <v>45348.309745370374</v>
      </c>
      <c r="C807" s="2">
        <v>45349.012279814815</v>
      </c>
      <c r="D807" s="2">
        <v>45349.757932349537</v>
      </c>
      <c r="E807" t="s">
        <v>11</v>
      </c>
      <c r="F807" t="s">
        <v>4</v>
      </c>
      <c r="G807" t="s">
        <v>15</v>
      </c>
      <c r="H807">
        <v>6</v>
      </c>
      <c r="I807">
        <v>8</v>
      </c>
      <c r="J807" t="s">
        <v>49</v>
      </c>
      <c r="K807" t="s">
        <v>73</v>
      </c>
      <c r="L807" t="s">
        <v>131</v>
      </c>
      <c r="M807" t="s">
        <v>903</v>
      </c>
      <c r="N807" t="b">
        <v>0</v>
      </c>
      <c r="O807" t="b">
        <v>0</v>
      </c>
    </row>
    <row r="808" spans="1:15">
      <c r="A808">
        <v>807</v>
      </c>
      <c r="B808" s="1">
        <v>45348.325185185182</v>
      </c>
      <c r="C808" s="2">
        <v>45348.335763506948</v>
      </c>
      <c r="D808" s="2">
        <v>45348.362635486112</v>
      </c>
      <c r="E808" t="s">
        <v>8</v>
      </c>
      <c r="F808" t="s">
        <v>4</v>
      </c>
      <c r="G808" t="s">
        <v>15</v>
      </c>
      <c r="H808">
        <v>2</v>
      </c>
      <c r="I808">
        <v>8</v>
      </c>
      <c r="J808" t="s">
        <v>49</v>
      </c>
      <c r="K808" t="s">
        <v>57</v>
      </c>
      <c r="L808" t="s">
        <v>302</v>
      </c>
      <c r="M808" t="s">
        <v>904</v>
      </c>
      <c r="N808" t="b">
        <v>1</v>
      </c>
      <c r="O808" t="b">
        <v>0</v>
      </c>
    </row>
    <row r="809" spans="1:15">
      <c r="A809">
        <v>808</v>
      </c>
      <c r="B809" s="1">
        <v>45348.351493055554</v>
      </c>
      <c r="C809" s="2">
        <v>45348.372907546298</v>
      </c>
      <c r="E809" t="s">
        <v>9</v>
      </c>
      <c r="F809" t="s">
        <v>80</v>
      </c>
      <c r="G809" t="s">
        <v>17</v>
      </c>
      <c r="H809">
        <v>5</v>
      </c>
      <c r="I809">
        <v>8</v>
      </c>
      <c r="J809" t="s">
        <v>52</v>
      </c>
      <c r="K809" t="s">
        <v>32</v>
      </c>
      <c r="L809" t="s">
        <v>50</v>
      </c>
      <c r="M809" t="s">
        <v>905</v>
      </c>
      <c r="N809" t="b">
        <v>0</v>
      </c>
      <c r="O809" t="b">
        <v>0</v>
      </c>
    </row>
    <row r="810" spans="1:15">
      <c r="A810">
        <v>809</v>
      </c>
      <c r="B810" s="1">
        <v>45348.360300925924</v>
      </c>
      <c r="C810" s="2">
        <v>45348.650114988428</v>
      </c>
      <c r="D810" s="2">
        <v>45348.863192453704</v>
      </c>
      <c r="E810" t="s">
        <v>10</v>
      </c>
      <c r="F810" t="s">
        <v>4</v>
      </c>
      <c r="G810" t="s">
        <v>15</v>
      </c>
      <c r="H810">
        <v>3</v>
      </c>
      <c r="I810">
        <v>7</v>
      </c>
      <c r="J810" t="s">
        <v>68</v>
      </c>
      <c r="K810" t="s">
        <v>46</v>
      </c>
      <c r="L810" t="s">
        <v>37</v>
      </c>
      <c r="M810" t="s">
        <v>906</v>
      </c>
      <c r="N810" t="b">
        <v>0</v>
      </c>
      <c r="O810" t="b">
        <v>0</v>
      </c>
    </row>
    <row r="811" spans="1:15">
      <c r="A811">
        <v>810</v>
      </c>
      <c r="B811" s="1">
        <v>45348.384988425925</v>
      </c>
      <c r="C811" s="2">
        <v>45348.637013865744</v>
      </c>
      <c r="D811" s="2">
        <v>45348.712764837961</v>
      </c>
      <c r="E811" t="s">
        <v>10</v>
      </c>
      <c r="F811" t="s">
        <v>4</v>
      </c>
      <c r="G811" t="s">
        <v>15</v>
      </c>
      <c r="H811">
        <v>4</v>
      </c>
      <c r="I811">
        <v>2</v>
      </c>
      <c r="J811" t="s">
        <v>49</v>
      </c>
      <c r="K811" t="s">
        <v>40</v>
      </c>
      <c r="L811" t="s">
        <v>50</v>
      </c>
      <c r="M811" t="s">
        <v>907</v>
      </c>
      <c r="N811" t="b">
        <v>0</v>
      </c>
      <c r="O811" t="b">
        <v>0</v>
      </c>
    </row>
    <row r="812" spans="1:15">
      <c r="A812">
        <v>811</v>
      </c>
      <c r="B812" s="1">
        <v>45348.547430555554</v>
      </c>
      <c r="C812" s="2">
        <v>45348.868857187503</v>
      </c>
      <c r="D812" s="2">
        <v>45349.327005011575</v>
      </c>
      <c r="E812" t="s">
        <v>10</v>
      </c>
      <c r="F812" t="s">
        <v>4</v>
      </c>
      <c r="G812" t="s">
        <v>14</v>
      </c>
      <c r="H812">
        <v>2</v>
      </c>
      <c r="I812">
        <v>3</v>
      </c>
      <c r="J812" t="s">
        <v>68</v>
      </c>
      <c r="K812" t="s">
        <v>57</v>
      </c>
      <c r="L812" t="s">
        <v>171</v>
      </c>
      <c r="M812" t="s">
        <v>908</v>
      </c>
      <c r="N812" t="b">
        <v>0</v>
      </c>
      <c r="O812" t="b">
        <v>0</v>
      </c>
    </row>
    <row r="813" spans="1:15">
      <c r="A813">
        <v>812</v>
      </c>
      <c r="B813" s="1">
        <v>45348.664629629631</v>
      </c>
      <c r="C813" s="2">
        <v>45348.967247534725</v>
      </c>
      <c r="D813" s="2">
        <v>45349.165224594908</v>
      </c>
      <c r="E813" t="s">
        <v>10</v>
      </c>
      <c r="F813" t="s">
        <v>4</v>
      </c>
      <c r="G813" t="s">
        <v>17</v>
      </c>
      <c r="H813">
        <v>7</v>
      </c>
      <c r="I813">
        <v>1</v>
      </c>
      <c r="J813" t="s">
        <v>52</v>
      </c>
      <c r="K813" t="s">
        <v>43</v>
      </c>
      <c r="L813" t="s">
        <v>98</v>
      </c>
      <c r="M813" t="s">
        <v>909</v>
      </c>
      <c r="N813" t="b">
        <v>0</v>
      </c>
      <c r="O813" t="b">
        <v>0</v>
      </c>
    </row>
    <row r="814" spans="1:15">
      <c r="A814">
        <v>813</v>
      </c>
      <c r="B814" s="1">
        <v>45348.682291666664</v>
      </c>
      <c r="C814" s="2">
        <v>45348.856044189815</v>
      </c>
      <c r="D814" s="2">
        <v>45349.494078113428</v>
      </c>
      <c r="E814" t="s">
        <v>11</v>
      </c>
      <c r="F814" t="s">
        <v>2</v>
      </c>
      <c r="G814" t="s">
        <v>17</v>
      </c>
      <c r="H814">
        <v>4</v>
      </c>
      <c r="I814">
        <v>4</v>
      </c>
      <c r="J814" t="s">
        <v>68</v>
      </c>
      <c r="K814" t="s">
        <v>40</v>
      </c>
      <c r="L814" t="s">
        <v>221</v>
      </c>
      <c r="M814" t="s">
        <v>910</v>
      </c>
      <c r="N814" t="b">
        <v>0</v>
      </c>
      <c r="O814" t="b">
        <v>0</v>
      </c>
    </row>
    <row r="815" spans="1:15">
      <c r="A815">
        <v>814</v>
      </c>
      <c r="B815" s="1">
        <v>45348.788657407407</v>
      </c>
      <c r="C815" s="2">
        <v>45348.809847928242</v>
      </c>
      <c r="D815" s="2">
        <v>45349.059294548613</v>
      </c>
      <c r="E815" t="s">
        <v>9</v>
      </c>
      <c r="F815" t="s">
        <v>4</v>
      </c>
      <c r="G815" t="s">
        <v>14</v>
      </c>
      <c r="H815">
        <v>8</v>
      </c>
      <c r="I815">
        <v>9</v>
      </c>
      <c r="J815" t="s">
        <v>52</v>
      </c>
      <c r="K815" t="s">
        <v>36</v>
      </c>
      <c r="L815" t="s">
        <v>253</v>
      </c>
      <c r="M815" t="s">
        <v>911</v>
      </c>
      <c r="N815" t="b">
        <v>0</v>
      </c>
      <c r="O815" t="b">
        <v>0</v>
      </c>
    </row>
    <row r="816" spans="1:15">
      <c r="A816">
        <v>815</v>
      </c>
      <c r="B816" s="1">
        <v>45348.917800925927</v>
      </c>
      <c r="C816" s="2">
        <v>45349.250595787038</v>
      </c>
      <c r="D816" s="2">
        <v>45350.354627187502</v>
      </c>
      <c r="E816" t="s">
        <v>11</v>
      </c>
      <c r="F816" t="s">
        <v>4</v>
      </c>
      <c r="G816" t="s">
        <v>15</v>
      </c>
      <c r="H816">
        <v>7</v>
      </c>
      <c r="I816">
        <v>3</v>
      </c>
      <c r="J816" t="s">
        <v>49</v>
      </c>
      <c r="K816" t="s">
        <v>43</v>
      </c>
      <c r="L816" t="s">
        <v>221</v>
      </c>
      <c r="M816" t="s">
        <v>912</v>
      </c>
      <c r="N816" t="b">
        <v>0</v>
      </c>
      <c r="O816" t="b">
        <v>0</v>
      </c>
    </row>
    <row r="817" spans="1:15">
      <c r="A817">
        <v>816</v>
      </c>
      <c r="B817" s="1">
        <v>45348.983182870368</v>
      </c>
      <c r="C817" s="2">
        <v>45349.315769108798</v>
      </c>
      <c r="D817" s="2">
        <v>45349.350739571761</v>
      </c>
      <c r="E817" t="s">
        <v>10</v>
      </c>
      <c r="F817" t="s">
        <v>4</v>
      </c>
      <c r="G817" t="s">
        <v>17</v>
      </c>
      <c r="H817">
        <v>7</v>
      </c>
      <c r="I817">
        <v>8</v>
      </c>
      <c r="J817" t="s">
        <v>39</v>
      </c>
      <c r="K817" t="s">
        <v>43</v>
      </c>
      <c r="L817" t="s">
        <v>253</v>
      </c>
      <c r="M817" t="s">
        <v>913</v>
      </c>
      <c r="N817" t="b">
        <v>0</v>
      </c>
      <c r="O817" t="b">
        <v>0</v>
      </c>
    </row>
    <row r="818" spans="1:15">
      <c r="A818">
        <v>817</v>
      </c>
      <c r="B818" s="1">
        <v>45349.046527777777</v>
      </c>
      <c r="C818" s="2">
        <v>45349.128903599536</v>
      </c>
      <c r="D818" s="2">
        <v>45349.385495972223</v>
      </c>
      <c r="E818" t="s">
        <v>10</v>
      </c>
      <c r="F818" t="s">
        <v>4</v>
      </c>
      <c r="G818" t="s">
        <v>16</v>
      </c>
      <c r="H818">
        <v>4</v>
      </c>
      <c r="I818">
        <v>5</v>
      </c>
      <c r="J818" t="s">
        <v>52</v>
      </c>
      <c r="K818" t="s">
        <v>40</v>
      </c>
      <c r="L818" t="s">
        <v>164</v>
      </c>
      <c r="M818" t="s">
        <v>914</v>
      </c>
      <c r="N818" t="b">
        <v>0</v>
      </c>
      <c r="O818" t="b">
        <v>0</v>
      </c>
    </row>
    <row r="819" spans="1:15">
      <c r="A819">
        <v>818</v>
      </c>
      <c r="B819" s="1">
        <v>45349.12222222222</v>
      </c>
      <c r="C819" s="2">
        <v>45349.174130462961</v>
      </c>
      <c r="D819" s="2">
        <v>45349.24294733796</v>
      </c>
      <c r="E819" t="s">
        <v>8</v>
      </c>
      <c r="F819" t="s">
        <v>4</v>
      </c>
      <c r="G819" t="s">
        <v>14</v>
      </c>
      <c r="H819">
        <v>8</v>
      </c>
      <c r="I819">
        <v>2</v>
      </c>
      <c r="J819" t="s">
        <v>35</v>
      </c>
      <c r="K819" t="s">
        <v>36</v>
      </c>
      <c r="L819" t="s">
        <v>179</v>
      </c>
      <c r="M819" t="s">
        <v>915</v>
      </c>
      <c r="N819" t="b">
        <v>1</v>
      </c>
      <c r="O819" t="b">
        <v>0</v>
      </c>
    </row>
    <row r="820" spans="1:15">
      <c r="A820">
        <v>819</v>
      </c>
      <c r="B820" s="1">
        <v>45349.130185185182</v>
      </c>
      <c r="C820" s="2">
        <v>45349.831039571756</v>
      </c>
      <c r="E820" t="s">
        <v>11</v>
      </c>
      <c r="F820" t="s">
        <v>80</v>
      </c>
      <c r="G820" t="s">
        <v>17</v>
      </c>
      <c r="H820">
        <v>5</v>
      </c>
      <c r="I820">
        <v>3</v>
      </c>
      <c r="J820" t="s">
        <v>31</v>
      </c>
      <c r="K820" t="s">
        <v>32</v>
      </c>
      <c r="L820" t="s">
        <v>310</v>
      </c>
      <c r="M820" t="s">
        <v>916</v>
      </c>
      <c r="N820" t="b">
        <v>0</v>
      </c>
      <c r="O820" t="b">
        <v>0</v>
      </c>
    </row>
    <row r="821" spans="1:15">
      <c r="A821">
        <v>820</v>
      </c>
      <c r="B821" s="1">
        <v>45349.508703703701</v>
      </c>
      <c r="C821" s="2">
        <v>45349.922157025459</v>
      </c>
      <c r="D821" s="2">
        <v>45351.004221585645</v>
      </c>
      <c r="E821" t="s">
        <v>11</v>
      </c>
      <c r="F821" t="s">
        <v>2</v>
      </c>
      <c r="G821" t="s">
        <v>17</v>
      </c>
      <c r="H821">
        <v>4</v>
      </c>
      <c r="I821">
        <v>7</v>
      </c>
      <c r="J821" t="s">
        <v>35</v>
      </c>
      <c r="K821" t="s">
        <v>40</v>
      </c>
      <c r="L821" t="s">
        <v>113</v>
      </c>
      <c r="M821" t="s">
        <v>917</v>
      </c>
      <c r="N821" t="b">
        <v>0</v>
      </c>
      <c r="O821" t="b">
        <v>0</v>
      </c>
    </row>
    <row r="822" spans="1:15">
      <c r="A822">
        <v>821</v>
      </c>
      <c r="B822" s="1">
        <v>45349.646817129629</v>
      </c>
      <c r="C822" s="2">
        <v>45349.769973368057</v>
      </c>
      <c r="E822" t="s">
        <v>10</v>
      </c>
      <c r="F822" t="s">
        <v>80</v>
      </c>
      <c r="G822" t="s">
        <v>14</v>
      </c>
      <c r="H822">
        <v>3</v>
      </c>
      <c r="I822">
        <v>8</v>
      </c>
      <c r="J822" t="s">
        <v>52</v>
      </c>
      <c r="K822" t="s">
        <v>46</v>
      </c>
      <c r="L822" t="s">
        <v>153</v>
      </c>
      <c r="M822" t="s">
        <v>918</v>
      </c>
      <c r="N822" t="b">
        <v>0</v>
      </c>
      <c r="O822" t="b">
        <v>0</v>
      </c>
    </row>
    <row r="823" spans="1:15">
      <c r="A823">
        <v>822</v>
      </c>
      <c r="B823" s="1">
        <v>45349.69159722222</v>
      </c>
      <c r="C823" s="2">
        <v>45349.776490219905</v>
      </c>
      <c r="D823" s="2">
        <v>45350.070959571756</v>
      </c>
      <c r="E823" t="s">
        <v>10</v>
      </c>
      <c r="F823" t="s">
        <v>4</v>
      </c>
      <c r="G823" t="s">
        <v>17</v>
      </c>
      <c r="H823">
        <v>8</v>
      </c>
      <c r="I823">
        <v>4</v>
      </c>
      <c r="J823" t="s">
        <v>31</v>
      </c>
      <c r="K823" t="s">
        <v>36</v>
      </c>
      <c r="L823" t="s">
        <v>50</v>
      </c>
      <c r="M823" t="s">
        <v>919</v>
      </c>
      <c r="N823" t="b">
        <v>0</v>
      </c>
      <c r="O823" t="b">
        <v>0</v>
      </c>
    </row>
    <row r="824" spans="1:15">
      <c r="A824">
        <v>823</v>
      </c>
      <c r="B824" s="1">
        <v>45349.704155092593</v>
      </c>
      <c r="C824" s="2">
        <v>45349.757674560184</v>
      </c>
      <c r="D824" s="2">
        <v>45350.333385196762</v>
      </c>
      <c r="E824" t="s">
        <v>10</v>
      </c>
      <c r="F824" t="s">
        <v>4</v>
      </c>
      <c r="G824" t="s">
        <v>15</v>
      </c>
      <c r="H824">
        <v>3</v>
      </c>
      <c r="I824">
        <v>10</v>
      </c>
      <c r="J824" t="s">
        <v>39</v>
      </c>
      <c r="K824" t="s">
        <v>46</v>
      </c>
      <c r="L824" t="s">
        <v>81</v>
      </c>
      <c r="M824" t="s">
        <v>920</v>
      </c>
      <c r="N824" t="b">
        <v>0</v>
      </c>
      <c r="O824" t="b">
        <v>0</v>
      </c>
    </row>
    <row r="825" spans="1:15">
      <c r="A825">
        <v>824</v>
      </c>
      <c r="B825" s="1">
        <v>45349.755231481482</v>
      </c>
      <c r="C825" s="2">
        <v>45350.081905624997</v>
      </c>
      <c r="E825" t="s">
        <v>10</v>
      </c>
      <c r="F825" t="s">
        <v>80</v>
      </c>
      <c r="G825" t="s">
        <v>17</v>
      </c>
      <c r="H825">
        <v>8</v>
      </c>
      <c r="I825">
        <v>1</v>
      </c>
      <c r="J825" t="s">
        <v>49</v>
      </c>
      <c r="K825" t="s">
        <v>36</v>
      </c>
      <c r="L825" t="s">
        <v>134</v>
      </c>
      <c r="M825" t="s">
        <v>921</v>
      </c>
      <c r="N825" t="b">
        <v>1</v>
      </c>
      <c r="O825" t="b">
        <v>0</v>
      </c>
    </row>
    <row r="826" spans="1:15">
      <c r="A826">
        <v>825</v>
      </c>
      <c r="B826" s="1">
        <v>45349.774143518516</v>
      </c>
      <c r="C826" s="2">
        <v>45349.943610277776</v>
      </c>
      <c r="D826" s="2">
        <v>45350.184208321756</v>
      </c>
      <c r="E826" t="s">
        <v>10</v>
      </c>
      <c r="F826" t="s">
        <v>4</v>
      </c>
      <c r="G826" t="s">
        <v>15</v>
      </c>
      <c r="H826">
        <v>2</v>
      </c>
      <c r="I826">
        <v>6</v>
      </c>
      <c r="J826" t="s">
        <v>49</v>
      </c>
      <c r="K826" t="s">
        <v>57</v>
      </c>
      <c r="L826" t="s">
        <v>89</v>
      </c>
      <c r="M826" t="s">
        <v>922</v>
      </c>
      <c r="N826" t="b">
        <v>0</v>
      </c>
      <c r="O826" t="b">
        <v>0</v>
      </c>
    </row>
    <row r="827" spans="1:15">
      <c r="A827">
        <v>826</v>
      </c>
      <c r="B827" s="1">
        <v>45350.0393287037</v>
      </c>
      <c r="C827" s="2">
        <v>45350.165609270836</v>
      </c>
      <c r="E827" t="s">
        <v>10</v>
      </c>
      <c r="F827" t="s">
        <v>3</v>
      </c>
      <c r="G827" t="s">
        <v>16</v>
      </c>
      <c r="H827">
        <v>7</v>
      </c>
      <c r="I827">
        <v>3</v>
      </c>
      <c r="J827" t="s">
        <v>39</v>
      </c>
      <c r="K827" t="s">
        <v>43</v>
      </c>
      <c r="L827" t="s">
        <v>96</v>
      </c>
      <c r="M827" t="s">
        <v>923</v>
      </c>
      <c r="N827" t="b">
        <v>0</v>
      </c>
      <c r="O827" t="b">
        <v>0</v>
      </c>
    </row>
    <row r="828" spans="1:15">
      <c r="A828">
        <v>827</v>
      </c>
      <c r="B828" s="1">
        <v>45350.045428240737</v>
      </c>
      <c r="C828" s="2">
        <v>45350.129517789355</v>
      </c>
      <c r="D828" s="2">
        <v>45352.214320335646</v>
      </c>
      <c r="E828" t="s">
        <v>11</v>
      </c>
      <c r="F828" t="s">
        <v>4</v>
      </c>
      <c r="G828" t="s">
        <v>17</v>
      </c>
      <c r="H828">
        <v>3</v>
      </c>
      <c r="I828">
        <v>9</v>
      </c>
      <c r="J828" t="s">
        <v>49</v>
      </c>
      <c r="K828" t="s">
        <v>46</v>
      </c>
      <c r="L828" t="s">
        <v>102</v>
      </c>
      <c r="M828" t="s">
        <v>924</v>
      </c>
      <c r="N828" t="b">
        <v>0</v>
      </c>
      <c r="O828" t="b">
        <v>0</v>
      </c>
    </row>
    <row r="829" spans="1:15">
      <c r="A829">
        <v>828</v>
      </c>
      <c r="B829" s="1">
        <v>45350.072314814817</v>
      </c>
      <c r="C829" s="2">
        <v>45350.248300127314</v>
      </c>
      <c r="D829" s="2">
        <v>45351.892028298615</v>
      </c>
      <c r="E829" t="s">
        <v>11</v>
      </c>
      <c r="F829" t="s">
        <v>2</v>
      </c>
      <c r="G829" t="s">
        <v>17</v>
      </c>
      <c r="H829">
        <v>7</v>
      </c>
      <c r="I829">
        <v>8</v>
      </c>
      <c r="J829" t="s">
        <v>35</v>
      </c>
      <c r="K829" t="s">
        <v>43</v>
      </c>
      <c r="L829" t="s">
        <v>64</v>
      </c>
      <c r="M829" t="s">
        <v>925</v>
      </c>
      <c r="N829" t="b">
        <v>0</v>
      </c>
      <c r="O829" t="b">
        <v>0</v>
      </c>
    </row>
    <row r="830" spans="1:15">
      <c r="A830">
        <v>829</v>
      </c>
      <c r="B830" s="1">
        <v>45350.124768518515</v>
      </c>
      <c r="C830" s="2">
        <v>45350.241846342593</v>
      </c>
      <c r="D830" s="2">
        <v>45350.390018287035</v>
      </c>
      <c r="E830" t="s">
        <v>9</v>
      </c>
      <c r="F830" t="s">
        <v>4</v>
      </c>
      <c r="G830" t="s">
        <v>15</v>
      </c>
      <c r="H830">
        <v>7</v>
      </c>
      <c r="I830">
        <v>1</v>
      </c>
      <c r="J830" t="s">
        <v>31</v>
      </c>
      <c r="K830" t="s">
        <v>43</v>
      </c>
      <c r="L830" t="s">
        <v>276</v>
      </c>
      <c r="M830" t="s">
        <v>926</v>
      </c>
      <c r="N830" t="b">
        <v>0</v>
      </c>
      <c r="O830" t="b">
        <v>0</v>
      </c>
    </row>
    <row r="831" spans="1:15">
      <c r="A831">
        <v>830</v>
      </c>
      <c r="B831" s="1">
        <v>45350.134201388886</v>
      </c>
      <c r="C831" s="2">
        <v>45350.298011493054</v>
      </c>
      <c r="D831" s="2">
        <v>45352.626944062496</v>
      </c>
      <c r="E831" t="s">
        <v>11</v>
      </c>
      <c r="F831" t="s">
        <v>4</v>
      </c>
      <c r="G831" t="s">
        <v>16</v>
      </c>
      <c r="H831">
        <v>6</v>
      </c>
      <c r="I831">
        <v>4</v>
      </c>
      <c r="J831" t="s">
        <v>52</v>
      </c>
      <c r="K831" t="s">
        <v>73</v>
      </c>
      <c r="L831" t="s">
        <v>276</v>
      </c>
      <c r="M831" t="s">
        <v>927</v>
      </c>
      <c r="N831" t="b">
        <v>0</v>
      </c>
      <c r="O831" t="b">
        <v>0</v>
      </c>
    </row>
    <row r="832" spans="1:15">
      <c r="A832">
        <v>831</v>
      </c>
      <c r="B832" s="1">
        <v>45350.13616898148</v>
      </c>
      <c r="C832" s="2">
        <v>45350.25714587963</v>
      </c>
      <c r="D832" s="2">
        <v>45350.98303116898</v>
      </c>
      <c r="E832" t="s">
        <v>10</v>
      </c>
      <c r="F832" t="s">
        <v>2</v>
      </c>
      <c r="G832" t="s">
        <v>15</v>
      </c>
      <c r="H832">
        <v>8</v>
      </c>
      <c r="I832">
        <v>8</v>
      </c>
      <c r="J832" t="s">
        <v>49</v>
      </c>
      <c r="K832" t="s">
        <v>36</v>
      </c>
      <c r="L832" t="s">
        <v>171</v>
      </c>
      <c r="M832" t="s">
        <v>928</v>
      </c>
      <c r="N832" t="b">
        <v>0</v>
      </c>
      <c r="O832" t="b">
        <v>0</v>
      </c>
    </row>
    <row r="833" spans="1:15">
      <c r="A833">
        <v>832</v>
      </c>
      <c r="B833" s="1">
        <v>45350.139803240738</v>
      </c>
      <c r="C833" s="2">
        <v>45350.476829201391</v>
      </c>
      <c r="D833" s="2">
        <v>45352.984906655096</v>
      </c>
      <c r="E833" t="s">
        <v>11</v>
      </c>
      <c r="F833" t="s">
        <v>4</v>
      </c>
      <c r="G833" t="s">
        <v>14</v>
      </c>
      <c r="H833">
        <v>5</v>
      </c>
      <c r="I833">
        <v>6</v>
      </c>
      <c r="J833" t="s">
        <v>31</v>
      </c>
      <c r="K833" t="s">
        <v>32</v>
      </c>
      <c r="L833" t="s">
        <v>106</v>
      </c>
      <c r="M833" t="s">
        <v>929</v>
      </c>
      <c r="N833" t="b">
        <v>1</v>
      </c>
      <c r="O833" t="b">
        <v>0</v>
      </c>
    </row>
    <row r="834" spans="1:15">
      <c r="A834">
        <v>833</v>
      </c>
      <c r="B834" s="1">
        <v>45350.165439814817</v>
      </c>
      <c r="C834" s="2">
        <v>45350.37997947917</v>
      </c>
      <c r="D834" s="2">
        <v>45351.080890462959</v>
      </c>
      <c r="E834" t="s">
        <v>10</v>
      </c>
      <c r="F834" t="s">
        <v>4</v>
      </c>
      <c r="G834" t="s">
        <v>14</v>
      </c>
      <c r="H834">
        <v>7</v>
      </c>
      <c r="I834">
        <v>5</v>
      </c>
      <c r="J834" t="s">
        <v>39</v>
      </c>
      <c r="K834" t="s">
        <v>43</v>
      </c>
      <c r="L834" t="s">
        <v>156</v>
      </c>
      <c r="M834" t="s">
        <v>930</v>
      </c>
      <c r="N834" t="b">
        <v>1</v>
      </c>
      <c r="O834" t="b">
        <v>0</v>
      </c>
    </row>
    <row r="835" spans="1:15">
      <c r="A835">
        <v>834</v>
      </c>
      <c r="B835" s="1">
        <v>45350.172951388886</v>
      </c>
      <c r="C835" s="2">
        <v>45350.201760057869</v>
      </c>
      <c r="D835" s="2">
        <v>45350.249183645836</v>
      </c>
      <c r="E835" t="s">
        <v>8</v>
      </c>
      <c r="F835" t="s">
        <v>4</v>
      </c>
      <c r="G835" t="s">
        <v>16</v>
      </c>
      <c r="H835">
        <v>5</v>
      </c>
      <c r="I835">
        <v>2</v>
      </c>
      <c r="J835" t="s">
        <v>49</v>
      </c>
      <c r="K835" t="s">
        <v>32</v>
      </c>
      <c r="L835" t="s">
        <v>85</v>
      </c>
      <c r="M835" t="s">
        <v>931</v>
      </c>
      <c r="N835" t="b">
        <v>1</v>
      </c>
      <c r="O835" t="b">
        <v>0</v>
      </c>
    </row>
    <row r="836" spans="1:15">
      <c r="A836">
        <v>835</v>
      </c>
      <c r="B836" s="1">
        <v>45350.225231481483</v>
      </c>
      <c r="C836" s="2">
        <v>45350.466676064818</v>
      </c>
      <c r="E836" t="s">
        <v>11</v>
      </c>
      <c r="F836" t="s">
        <v>80</v>
      </c>
      <c r="G836" t="s">
        <v>17</v>
      </c>
      <c r="H836">
        <v>1</v>
      </c>
      <c r="I836">
        <v>6</v>
      </c>
      <c r="J836" t="s">
        <v>39</v>
      </c>
      <c r="K836" t="s">
        <v>71</v>
      </c>
      <c r="L836" t="s">
        <v>100</v>
      </c>
      <c r="M836" t="s">
        <v>932</v>
      </c>
      <c r="N836" t="b">
        <v>0</v>
      </c>
      <c r="O836" t="b">
        <v>0</v>
      </c>
    </row>
    <row r="837" spans="1:15">
      <c r="A837">
        <v>836</v>
      </c>
      <c r="B837" s="1">
        <v>45350.242974537039</v>
      </c>
      <c r="C837" s="2">
        <v>45350.26513709491</v>
      </c>
      <c r="D837" s="2">
        <v>45350.335219675922</v>
      </c>
      <c r="E837" t="s">
        <v>9</v>
      </c>
      <c r="F837" t="s">
        <v>4</v>
      </c>
      <c r="G837" t="s">
        <v>14</v>
      </c>
      <c r="H837">
        <v>4</v>
      </c>
      <c r="I837">
        <v>1</v>
      </c>
      <c r="J837" t="s">
        <v>39</v>
      </c>
      <c r="K837" t="s">
        <v>40</v>
      </c>
      <c r="L837" t="s">
        <v>117</v>
      </c>
      <c r="M837" t="s">
        <v>933</v>
      </c>
      <c r="N837" t="b">
        <v>0</v>
      </c>
      <c r="O837" t="b">
        <v>0</v>
      </c>
    </row>
    <row r="838" spans="1:15">
      <c r="A838">
        <v>837</v>
      </c>
      <c r="B838" s="1">
        <v>45350.254826388889</v>
      </c>
      <c r="C838" s="2">
        <v>45350.884640266202</v>
      </c>
      <c r="D838" s="2">
        <v>45353.127450335647</v>
      </c>
      <c r="E838" t="s">
        <v>11</v>
      </c>
      <c r="F838" t="s">
        <v>4</v>
      </c>
      <c r="G838" t="s">
        <v>15</v>
      </c>
      <c r="H838">
        <v>1</v>
      </c>
      <c r="I838">
        <v>4</v>
      </c>
      <c r="J838" t="s">
        <v>31</v>
      </c>
      <c r="K838" t="s">
        <v>71</v>
      </c>
      <c r="L838" t="s">
        <v>91</v>
      </c>
      <c r="M838" t="s">
        <v>934</v>
      </c>
      <c r="N838" t="b">
        <v>1</v>
      </c>
      <c r="O838" t="b">
        <v>0</v>
      </c>
    </row>
    <row r="839" spans="1:15">
      <c r="A839">
        <v>838</v>
      </c>
      <c r="B839" s="1">
        <v>45350.291435185187</v>
      </c>
      <c r="C839" s="2">
        <v>45350.764928912038</v>
      </c>
      <c r="D839" s="2">
        <v>45352.067499340279</v>
      </c>
      <c r="E839" t="s">
        <v>11</v>
      </c>
      <c r="F839" t="s">
        <v>4</v>
      </c>
      <c r="G839" t="s">
        <v>16</v>
      </c>
      <c r="H839">
        <v>6</v>
      </c>
      <c r="I839">
        <v>3</v>
      </c>
      <c r="J839" t="s">
        <v>31</v>
      </c>
      <c r="K839" t="s">
        <v>73</v>
      </c>
      <c r="L839" t="s">
        <v>110</v>
      </c>
      <c r="M839" t="s">
        <v>935</v>
      </c>
      <c r="N839" t="b">
        <v>0</v>
      </c>
      <c r="O839" t="b">
        <v>0</v>
      </c>
    </row>
    <row r="840" spans="1:15">
      <c r="A840">
        <v>839</v>
      </c>
      <c r="B840" s="1">
        <v>45350.319837962961</v>
      </c>
      <c r="C840" s="2">
        <v>45350.722156886572</v>
      </c>
      <c r="D840" s="2">
        <v>45352.164212199074</v>
      </c>
      <c r="E840" t="s">
        <v>11</v>
      </c>
      <c r="F840" t="s">
        <v>2</v>
      </c>
      <c r="G840" t="s">
        <v>15</v>
      </c>
      <c r="H840">
        <v>2</v>
      </c>
      <c r="I840">
        <v>7</v>
      </c>
      <c r="J840" t="s">
        <v>52</v>
      </c>
      <c r="K840" t="s">
        <v>57</v>
      </c>
      <c r="L840" t="s">
        <v>66</v>
      </c>
      <c r="M840" t="s">
        <v>936</v>
      </c>
      <c r="N840" t="b">
        <v>0</v>
      </c>
      <c r="O840" t="b">
        <v>0</v>
      </c>
    </row>
    <row r="841" spans="1:15">
      <c r="A841">
        <v>840</v>
      </c>
      <c r="B841" s="1">
        <v>45350.33803240741</v>
      </c>
      <c r="C841" s="2">
        <v>45350.401711319442</v>
      </c>
      <c r="E841" t="s">
        <v>10</v>
      </c>
      <c r="F841" t="s">
        <v>3</v>
      </c>
      <c r="G841" t="s">
        <v>17</v>
      </c>
      <c r="H841">
        <v>3</v>
      </c>
      <c r="I841">
        <v>5</v>
      </c>
      <c r="J841" t="s">
        <v>68</v>
      </c>
      <c r="K841" t="s">
        <v>46</v>
      </c>
      <c r="L841" t="s">
        <v>60</v>
      </c>
      <c r="M841" t="s">
        <v>937</v>
      </c>
      <c r="N841" t="b">
        <v>1</v>
      </c>
      <c r="O841" t="b">
        <v>0</v>
      </c>
    </row>
    <row r="842" spans="1:15">
      <c r="A842">
        <v>841</v>
      </c>
      <c r="B842" s="1">
        <v>45350.474247685182</v>
      </c>
      <c r="C842" s="2">
        <v>45350.684661319443</v>
      </c>
      <c r="E842" t="s">
        <v>10</v>
      </c>
      <c r="F842" t="s">
        <v>3</v>
      </c>
      <c r="G842" t="s">
        <v>17</v>
      </c>
      <c r="H842">
        <v>7</v>
      </c>
      <c r="I842">
        <v>5</v>
      </c>
      <c r="J842" t="s">
        <v>35</v>
      </c>
      <c r="K842" t="s">
        <v>43</v>
      </c>
      <c r="L842" t="s">
        <v>284</v>
      </c>
      <c r="M842" t="s">
        <v>938</v>
      </c>
      <c r="N842" t="b">
        <v>0</v>
      </c>
      <c r="O842" t="b">
        <v>0</v>
      </c>
    </row>
    <row r="843" spans="1:15">
      <c r="A843">
        <v>842</v>
      </c>
      <c r="B843" s="1">
        <v>45350.499351851853</v>
      </c>
      <c r="C843" s="2">
        <v>45350.695047569447</v>
      </c>
      <c r="D843" s="2">
        <v>45350.754914687503</v>
      </c>
      <c r="E843" t="s">
        <v>10</v>
      </c>
      <c r="F843" t="s">
        <v>4</v>
      </c>
      <c r="G843" t="s">
        <v>16</v>
      </c>
      <c r="H843">
        <v>6</v>
      </c>
      <c r="I843">
        <v>9</v>
      </c>
      <c r="J843" t="s">
        <v>49</v>
      </c>
      <c r="K843" t="s">
        <v>73</v>
      </c>
      <c r="L843" t="s">
        <v>310</v>
      </c>
      <c r="M843" t="s">
        <v>939</v>
      </c>
      <c r="N843" t="b">
        <v>0</v>
      </c>
      <c r="O843" t="b">
        <v>0</v>
      </c>
    </row>
    <row r="844" spans="1:15">
      <c r="A844">
        <v>843</v>
      </c>
      <c r="B844" s="1">
        <v>45350.587557870371</v>
      </c>
      <c r="C844" s="2">
        <v>45350.694523391205</v>
      </c>
      <c r="D844" s="2">
        <v>45350.780596516204</v>
      </c>
      <c r="E844" t="s">
        <v>9</v>
      </c>
      <c r="F844" t="s">
        <v>4</v>
      </c>
      <c r="G844" t="s">
        <v>15</v>
      </c>
      <c r="H844">
        <v>3</v>
      </c>
      <c r="I844">
        <v>4</v>
      </c>
      <c r="J844" t="s">
        <v>35</v>
      </c>
      <c r="K844" t="s">
        <v>46</v>
      </c>
      <c r="L844" t="s">
        <v>87</v>
      </c>
      <c r="M844" t="s">
        <v>940</v>
      </c>
      <c r="N844" t="b">
        <v>0</v>
      </c>
      <c r="O844" t="b">
        <v>0</v>
      </c>
    </row>
    <row r="845" spans="1:15">
      <c r="A845">
        <v>844</v>
      </c>
      <c r="B845" s="1">
        <v>45350.628495370373</v>
      </c>
      <c r="C845" s="2">
        <v>45351.139032199077</v>
      </c>
      <c r="D845" s="2">
        <v>45353.094100567127</v>
      </c>
      <c r="E845" t="s">
        <v>11</v>
      </c>
      <c r="F845" t="s">
        <v>4</v>
      </c>
      <c r="G845" t="s">
        <v>15</v>
      </c>
      <c r="H845">
        <v>5</v>
      </c>
      <c r="I845">
        <v>8</v>
      </c>
      <c r="J845" t="s">
        <v>52</v>
      </c>
      <c r="K845" t="s">
        <v>32</v>
      </c>
      <c r="L845" t="s">
        <v>158</v>
      </c>
      <c r="M845" t="s">
        <v>941</v>
      </c>
      <c r="N845" t="b">
        <v>0</v>
      </c>
      <c r="O845" t="b">
        <v>0</v>
      </c>
    </row>
    <row r="846" spans="1:15">
      <c r="A846">
        <v>845</v>
      </c>
      <c r="B846" s="1">
        <v>45350.638553240744</v>
      </c>
      <c r="C846" s="2">
        <v>45350.816121736112</v>
      </c>
      <c r="D846" s="2">
        <v>45351.369191504629</v>
      </c>
      <c r="E846" t="s">
        <v>10</v>
      </c>
      <c r="F846" t="s">
        <v>4</v>
      </c>
      <c r="G846" t="s">
        <v>14</v>
      </c>
      <c r="H846">
        <v>5</v>
      </c>
      <c r="I846">
        <v>9</v>
      </c>
      <c r="J846" t="s">
        <v>52</v>
      </c>
      <c r="K846" t="s">
        <v>32</v>
      </c>
      <c r="L846" t="s">
        <v>164</v>
      </c>
      <c r="M846" t="s">
        <v>942</v>
      </c>
      <c r="N846" t="b">
        <v>0</v>
      </c>
      <c r="O846" t="b">
        <v>0</v>
      </c>
    </row>
    <row r="847" spans="1:15">
      <c r="A847">
        <v>846</v>
      </c>
      <c r="B847" s="1">
        <v>45350.707719907405</v>
      </c>
      <c r="C847" s="2">
        <v>45351.03356502315</v>
      </c>
      <c r="D847" s="2">
        <v>45351.130082303243</v>
      </c>
      <c r="E847" t="s">
        <v>10</v>
      </c>
      <c r="F847" t="s">
        <v>2</v>
      </c>
      <c r="G847" t="s">
        <v>15</v>
      </c>
      <c r="H847">
        <v>3</v>
      </c>
      <c r="I847">
        <v>2</v>
      </c>
      <c r="J847" t="s">
        <v>68</v>
      </c>
      <c r="K847" t="s">
        <v>46</v>
      </c>
      <c r="L847" t="s">
        <v>131</v>
      </c>
      <c r="M847" t="s">
        <v>943</v>
      </c>
      <c r="N847" t="b">
        <v>0</v>
      </c>
      <c r="O847" t="b">
        <v>0</v>
      </c>
    </row>
    <row r="848" spans="1:15">
      <c r="A848">
        <v>847</v>
      </c>
      <c r="B848" s="1">
        <v>45350.901909722219</v>
      </c>
      <c r="C848" s="2">
        <v>45351.139320092596</v>
      </c>
      <c r="D848" s="2">
        <v>45351.437135497683</v>
      </c>
      <c r="E848" t="s">
        <v>10</v>
      </c>
      <c r="F848" t="s">
        <v>4</v>
      </c>
      <c r="G848" t="s">
        <v>15</v>
      </c>
      <c r="H848">
        <v>6</v>
      </c>
      <c r="I848">
        <v>8</v>
      </c>
      <c r="J848" t="s">
        <v>35</v>
      </c>
      <c r="K848" t="s">
        <v>73</v>
      </c>
      <c r="L848" t="s">
        <v>253</v>
      </c>
      <c r="M848" t="s">
        <v>944</v>
      </c>
      <c r="N848" t="b">
        <v>0</v>
      </c>
      <c r="O848" t="b">
        <v>0</v>
      </c>
    </row>
    <row r="849" spans="1:15">
      <c r="A849">
        <v>848</v>
      </c>
      <c r="B849" s="1">
        <v>45350.932280092595</v>
      </c>
      <c r="C849" s="2">
        <v>45351.110167627317</v>
      </c>
      <c r="D849" s="2">
        <v>45352.759765590279</v>
      </c>
      <c r="E849" t="s">
        <v>11</v>
      </c>
      <c r="F849" t="s">
        <v>4</v>
      </c>
      <c r="G849" t="s">
        <v>15</v>
      </c>
      <c r="H849">
        <v>2</v>
      </c>
      <c r="I849">
        <v>1</v>
      </c>
      <c r="J849" t="s">
        <v>49</v>
      </c>
      <c r="K849" t="s">
        <v>57</v>
      </c>
      <c r="L849" t="s">
        <v>131</v>
      </c>
      <c r="M849" t="s">
        <v>945</v>
      </c>
      <c r="N849" t="b">
        <v>0</v>
      </c>
      <c r="O849" t="b">
        <v>0</v>
      </c>
    </row>
    <row r="850" spans="1:15">
      <c r="A850">
        <v>849</v>
      </c>
      <c r="B850" s="1">
        <v>45351.016979166663</v>
      </c>
      <c r="C850" s="2">
        <v>45351.790679791666</v>
      </c>
      <c r="D850" s="2">
        <v>45353.910915925924</v>
      </c>
      <c r="E850" t="s">
        <v>11</v>
      </c>
      <c r="F850" t="s">
        <v>4</v>
      </c>
      <c r="G850" t="s">
        <v>16</v>
      </c>
      <c r="H850">
        <v>4</v>
      </c>
      <c r="I850">
        <v>7</v>
      </c>
      <c r="J850" t="s">
        <v>35</v>
      </c>
      <c r="K850" t="s">
        <v>40</v>
      </c>
      <c r="L850" t="s">
        <v>174</v>
      </c>
      <c r="M850" t="s">
        <v>946</v>
      </c>
      <c r="N850" t="b">
        <v>1</v>
      </c>
      <c r="O850" t="b">
        <v>0</v>
      </c>
    </row>
    <row r="851" spans="1:15">
      <c r="A851">
        <v>850</v>
      </c>
      <c r="B851" s="1">
        <v>45351.027060185188</v>
      </c>
      <c r="C851" s="2">
        <v>45351.199929675924</v>
      </c>
      <c r="D851" s="2">
        <v>45351.5063415162</v>
      </c>
      <c r="E851" t="s">
        <v>10</v>
      </c>
      <c r="F851" t="s">
        <v>4</v>
      </c>
      <c r="G851" t="s">
        <v>17</v>
      </c>
      <c r="H851">
        <v>3</v>
      </c>
      <c r="I851">
        <v>3</v>
      </c>
      <c r="J851" t="s">
        <v>49</v>
      </c>
      <c r="K851" t="s">
        <v>46</v>
      </c>
      <c r="L851" t="s">
        <v>102</v>
      </c>
      <c r="M851" t="s">
        <v>947</v>
      </c>
      <c r="N851" t="b">
        <v>0</v>
      </c>
      <c r="O851" t="b">
        <v>0</v>
      </c>
    </row>
    <row r="852" spans="1:15">
      <c r="A852">
        <v>851</v>
      </c>
      <c r="B852" s="1">
        <v>45351.101759259262</v>
      </c>
      <c r="C852" s="2">
        <v>45351.171514374997</v>
      </c>
      <c r="D852" s="2">
        <v>45351.418601157406</v>
      </c>
      <c r="E852" t="s">
        <v>10</v>
      </c>
      <c r="F852" t="s">
        <v>4</v>
      </c>
      <c r="G852" t="s">
        <v>14</v>
      </c>
      <c r="H852">
        <v>6</v>
      </c>
      <c r="I852">
        <v>3</v>
      </c>
      <c r="J852" t="s">
        <v>52</v>
      </c>
      <c r="K852" t="s">
        <v>73</v>
      </c>
      <c r="L852" t="s">
        <v>85</v>
      </c>
      <c r="M852" t="s">
        <v>948</v>
      </c>
      <c r="N852" t="b">
        <v>0</v>
      </c>
      <c r="O852" t="b">
        <v>0</v>
      </c>
    </row>
    <row r="853" spans="1:15">
      <c r="A853">
        <v>852</v>
      </c>
      <c r="B853" s="1">
        <v>45351.194398148145</v>
      </c>
      <c r="C853" s="2">
        <v>45351.77791877315</v>
      </c>
      <c r="D853" s="2">
        <v>45352.364358368053</v>
      </c>
      <c r="E853" t="s">
        <v>11</v>
      </c>
      <c r="F853" t="s">
        <v>4</v>
      </c>
      <c r="G853" t="s">
        <v>16</v>
      </c>
      <c r="H853">
        <v>6</v>
      </c>
      <c r="I853">
        <v>9</v>
      </c>
      <c r="J853" t="s">
        <v>52</v>
      </c>
      <c r="K853" t="s">
        <v>73</v>
      </c>
      <c r="L853" t="s">
        <v>69</v>
      </c>
      <c r="M853" t="s">
        <v>949</v>
      </c>
      <c r="N853" t="b">
        <v>0</v>
      </c>
      <c r="O853" t="b">
        <v>0</v>
      </c>
    </row>
    <row r="854" spans="1:15">
      <c r="A854">
        <v>853</v>
      </c>
      <c r="B854" s="1">
        <v>45351.284953703704</v>
      </c>
      <c r="C854" s="2">
        <v>45351.491884525465</v>
      </c>
      <c r="D854" s="2">
        <v>45351.830898726854</v>
      </c>
      <c r="E854" t="s">
        <v>10</v>
      </c>
      <c r="F854" t="s">
        <v>4</v>
      </c>
      <c r="G854" t="s">
        <v>14</v>
      </c>
      <c r="H854">
        <v>7</v>
      </c>
      <c r="I854">
        <v>2</v>
      </c>
      <c r="J854" t="s">
        <v>49</v>
      </c>
      <c r="K854" t="s">
        <v>43</v>
      </c>
      <c r="L854" t="s">
        <v>41</v>
      </c>
      <c r="M854" t="s">
        <v>950</v>
      </c>
      <c r="N854" t="b">
        <v>0</v>
      </c>
      <c r="O854" t="b">
        <v>0</v>
      </c>
    </row>
    <row r="855" spans="1:15">
      <c r="A855">
        <v>854</v>
      </c>
      <c r="B855" s="1">
        <v>45351.337881944448</v>
      </c>
      <c r="C855" s="2">
        <v>45352.156109432872</v>
      </c>
      <c r="D855" s="2">
        <v>45352.685727939817</v>
      </c>
      <c r="E855" t="s">
        <v>11</v>
      </c>
      <c r="F855" t="s">
        <v>4</v>
      </c>
      <c r="G855" t="s">
        <v>17</v>
      </c>
      <c r="H855">
        <v>3</v>
      </c>
      <c r="I855">
        <v>6</v>
      </c>
      <c r="J855" t="s">
        <v>49</v>
      </c>
      <c r="K855" t="s">
        <v>46</v>
      </c>
      <c r="L855" t="s">
        <v>174</v>
      </c>
      <c r="M855" t="s">
        <v>951</v>
      </c>
      <c r="N855" t="b">
        <v>0</v>
      </c>
      <c r="O855" t="b">
        <v>0</v>
      </c>
    </row>
    <row r="856" spans="1:15">
      <c r="A856">
        <v>855</v>
      </c>
      <c r="B856" s="1">
        <v>45351.346990740742</v>
      </c>
      <c r="C856" s="2">
        <v>45351.741150057867</v>
      </c>
      <c r="D856" s="2">
        <v>45353.64418625</v>
      </c>
      <c r="E856" t="s">
        <v>11</v>
      </c>
      <c r="F856" t="s">
        <v>4</v>
      </c>
      <c r="G856" t="s">
        <v>15</v>
      </c>
      <c r="H856">
        <v>2</v>
      </c>
      <c r="I856">
        <v>8</v>
      </c>
      <c r="J856" t="s">
        <v>35</v>
      </c>
      <c r="K856" t="s">
        <v>57</v>
      </c>
      <c r="L856" t="s">
        <v>276</v>
      </c>
      <c r="M856" t="s">
        <v>952</v>
      </c>
      <c r="N856" t="b">
        <v>0</v>
      </c>
      <c r="O856" t="b">
        <v>0</v>
      </c>
    </row>
    <row r="857" spans="1:15">
      <c r="A857">
        <v>856</v>
      </c>
      <c r="B857" s="1">
        <v>45351.376631944448</v>
      </c>
      <c r="C857" s="2">
        <v>45351.950569513887</v>
      </c>
      <c r="D857" s="2">
        <v>45352.837275810183</v>
      </c>
      <c r="E857" t="s">
        <v>11</v>
      </c>
      <c r="F857" t="s">
        <v>4</v>
      </c>
      <c r="G857" t="s">
        <v>17</v>
      </c>
      <c r="H857">
        <v>1</v>
      </c>
      <c r="I857">
        <v>9</v>
      </c>
      <c r="J857" t="s">
        <v>68</v>
      </c>
      <c r="K857" t="s">
        <v>71</v>
      </c>
      <c r="L857" t="s">
        <v>121</v>
      </c>
      <c r="M857" t="s">
        <v>953</v>
      </c>
      <c r="N857" t="b">
        <v>0</v>
      </c>
      <c r="O857" t="b">
        <v>0</v>
      </c>
    </row>
    <row r="858" spans="1:15">
      <c r="A858">
        <v>857</v>
      </c>
      <c r="B858" s="1">
        <v>45351.403136574074</v>
      </c>
      <c r="C858" s="2">
        <v>45351.476633541664</v>
      </c>
      <c r="E858" t="s">
        <v>9</v>
      </c>
      <c r="F858" t="s">
        <v>3</v>
      </c>
      <c r="G858" t="s">
        <v>17</v>
      </c>
      <c r="H858">
        <v>7</v>
      </c>
      <c r="I858">
        <v>3</v>
      </c>
      <c r="J858" t="s">
        <v>31</v>
      </c>
      <c r="K858" t="s">
        <v>43</v>
      </c>
      <c r="L858" t="s">
        <v>100</v>
      </c>
      <c r="M858" t="s">
        <v>954</v>
      </c>
      <c r="N858" t="b">
        <v>1</v>
      </c>
      <c r="O858" t="b">
        <v>0</v>
      </c>
    </row>
    <row r="859" spans="1:15">
      <c r="A859">
        <v>858</v>
      </c>
      <c r="B859" s="1">
        <v>45351.419745370367</v>
      </c>
      <c r="C859" s="2">
        <v>45351.817673969905</v>
      </c>
      <c r="D859" s="2">
        <v>45352.431782870372</v>
      </c>
      <c r="E859" t="s">
        <v>11</v>
      </c>
      <c r="F859" t="s">
        <v>4</v>
      </c>
      <c r="G859" t="s">
        <v>15</v>
      </c>
      <c r="H859">
        <v>3</v>
      </c>
      <c r="I859">
        <v>4</v>
      </c>
      <c r="J859" t="s">
        <v>49</v>
      </c>
      <c r="K859" t="s">
        <v>46</v>
      </c>
      <c r="L859" t="s">
        <v>85</v>
      </c>
      <c r="M859" t="s">
        <v>955</v>
      </c>
      <c r="N859" t="b">
        <v>0</v>
      </c>
      <c r="O859" t="b">
        <v>0</v>
      </c>
    </row>
    <row r="860" spans="1:15">
      <c r="A860">
        <v>859</v>
      </c>
      <c r="B860" s="1">
        <v>45351.448368055557</v>
      </c>
      <c r="C860" s="2">
        <v>45352.042770821761</v>
      </c>
      <c r="D860" s="2">
        <v>45353.106843958332</v>
      </c>
      <c r="E860" t="s">
        <v>11</v>
      </c>
      <c r="F860" t="s">
        <v>4</v>
      </c>
      <c r="G860" t="s">
        <v>16</v>
      </c>
      <c r="H860">
        <v>7</v>
      </c>
      <c r="I860">
        <v>6</v>
      </c>
      <c r="J860" t="s">
        <v>35</v>
      </c>
      <c r="K860" t="s">
        <v>43</v>
      </c>
      <c r="L860" t="s">
        <v>96</v>
      </c>
      <c r="M860" t="s">
        <v>956</v>
      </c>
      <c r="N860" t="b">
        <v>0</v>
      </c>
      <c r="O860" t="b">
        <v>0</v>
      </c>
    </row>
    <row r="861" spans="1:15">
      <c r="A861">
        <v>860</v>
      </c>
      <c r="B861" s="1">
        <v>45351.449178240742</v>
      </c>
      <c r="C861" s="2">
        <v>45351.504582569447</v>
      </c>
      <c r="E861" t="s">
        <v>10</v>
      </c>
      <c r="F861" t="s">
        <v>80</v>
      </c>
      <c r="G861" t="s">
        <v>15</v>
      </c>
      <c r="H861">
        <v>3</v>
      </c>
      <c r="I861">
        <v>6</v>
      </c>
      <c r="J861" t="s">
        <v>31</v>
      </c>
      <c r="K861" t="s">
        <v>46</v>
      </c>
      <c r="L861" t="s">
        <v>50</v>
      </c>
      <c r="M861" t="s">
        <v>957</v>
      </c>
      <c r="N861" t="b">
        <v>0</v>
      </c>
      <c r="O861" t="b">
        <v>0</v>
      </c>
    </row>
    <row r="862" spans="1:15">
      <c r="A862">
        <v>861</v>
      </c>
      <c r="B862" s="1">
        <v>45351.527939814812</v>
      </c>
      <c r="C862" s="2">
        <v>45352.042454386574</v>
      </c>
      <c r="D862" s="2">
        <v>45353.810392777777</v>
      </c>
      <c r="E862" t="s">
        <v>11</v>
      </c>
      <c r="F862" t="s">
        <v>4</v>
      </c>
      <c r="G862" t="s">
        <v>17</v>
      </c>
      <c r="H862">
        <v>3</v>
      </c>
      <c r="I862">
        <v>2</v>
      </c>
      <c r="J862" t="s">
        <v>39</v>
      </c>
      <c r="K862" t="s">
        <v>46</v>
      </c>
      <c r="L862" t="s">
        <v>188</v>
      </c>
      <c r="M862" t="s">
        <v>958</v>
      </c>
      <c r="N862" t="b">
        <v>0</v>
      </c>
      <c r="O862" t="b">
        <v>0</v>
      </c>
    </row>
    <row r="863" spans="1:15">
      <c r="A863">
        <v>862</v>
      </c>
      <c r="B863" s="1">
        <v>45351.608657407407</v>
      </c>
      <c r="C863" s="2">
        <v>45351.79548670139</v>
      </c>
      <c r="D863" s="2">
        <v>45352.151251423609</v>
      </c>
      <c r="E863" t="s">
        <v>10</v>
      </c>
      <c r="F863" t="s">
        <v>4</v>
      </c>
      <c r="G863" t="s">
        <v>17</v>
      </c>
      <c r="H863">
        <v>2</v>
      </c>
      <c r="I863">
        <v>6</v>
      </c>
      <c r="J863" t="s">
        <v>39</v>
      </c>
      <c r="K863" t="s">
        <v>57</v>
      </c>
      <c r="L863" t="s">
        <v>66</v>
      </c>
      <c r="M863" t="s">
        <v>959</v>
      </c>
      <c r="N863" t="b">
        <v>0</v>
      </c>
      <c r="O863" t="b">
        <v>0</v>
      </c>
    </row>
    <row r="864" spans="1:15">
      <c r="A864">
        <v>863</v>
      </c>
      <c r="B864" s="1">
        <v>45351.720497685186</v>
      </c>
      <c r="C864" s="2">
        <v>45352.02722384259</v>
      </c>
      <c r="E864" t="s">
        <v>11</v>
      </c>
      <c r="F864" t="s">
        <v>80</v>
      </c>
      <c r="G864" t="s">
        <v>16</v>
      </c>
      <c r="H864">
        <v>7</v>
      </c>
      <c r="I864">
        <v>1</v>
      </c>
      <c r="J864" t="s">
        <v>49</v>
      </c>
      <c r="K864" t="s">
        <v>43</v>
      </c>
      <c r="L864" t="s">
        <v>64</v>
      </c>
      <c r="M864" t="s">
        <v>960</v>
      </c>
      <c r="N864" t="b">
        <v>0</v>
      </c>
      <c r="O864" t="b">
        <v>0</v>
      </c>
    </row>
    <row r="865" spans="1:15">
      <c r="A865">
        <v>864</v>
      </c>
      <c r="B865" s="1">
        <v>45351.73710648148</v>
      </c>
      <c r="C865" s="2">
        <v>45351.848204131944</v>
      </c>
      <c r="D865" s="2">
        <v>45352.653014884258</v>
      </c>
      <c r="E865" t="s">
        <v>10</v>
      </c>
      <c r="F865" t="s">
        <v>2</v>
      </c>
      <c r="G865" t="s">
        <v>15</v>
      </c>
      <c r="H865">
        <v>3</v>
      </c>
      <c r="I865">
        <v>7</v>
      </c>
      <c r="J865" t="s">
        <v>52</v>
      </c>
      <c r="K865" t="s">
        <v>46</v>
      </c>
      <c r="L865" t="s">
        <v>136</v>
      </c>
      <c r="M865" t="s">
        <v>961</v>
      </c>
      <c r="N865" t="b">
        <v>1</v>
      </c>
      <c r="O865" t="b">
        <v>0</v>
      </c>
    </row>
    <row r="866" spans="1:15">
      <c r="A866">
        <v>865</v>
      </c>
      <c r="B866" s="1">
        <v>45351.782141203701</v>
      </c>
      <c r="C866" s="2">
        <v>45351.875085243053</v>
      </c>
      <c r="D866" s="2">
        <v>45352.0571237037</v>
      </c>
      <c r="E866" t="s">
        <v>9</v>
      </c>
      <c r="F866" t="s">
        <v>4</v>
      </c>
      <c r="G866" t="s">
        <v>15</v>
      </c>
      <c r="H866">
        <v>3</v>
      </c>
      <c r="I866">
        <v>8</v>
      </c>
      <c r="J866" t="s">
        <v>68</v>
      </c>
      <c r="K866" t="s">
        <v>46</v>
      </c>
      <c r="L866" t="s">
        <v>121</v>
      </c>
      <c r="M866" t="s">
        <v>962</v>
      </c>
      <c r="N866" t="b">
        <v>0</v>
      </c>
      <c r="O866" t="b">
        <v>0</v>
      </c>
    </row>
    <row r="867" spans="1:15">
      <c r="A867">
        <v>866</v>
      </c>
      <c r="B867" s="1">
        <v>45351.806701388887</v>
      </c>
      <c r="C867" s="2">
        <v>45352.083967407409</v>
      </c>
      <c r="D867" s="2">
        <v>45352.505443240741</v>
      </c>
      <c r="E867" t="s">
        <v>10</v>
      </c>
      <c r="F867" t="s">
        <v>4</v>
      </c>
      <c r="G867" t="s">
        <v>17</v>
      </c>
      <c r="H867">
        <v>6</v>
      </c>
      <c r="I867">
        <v>5</v>
      </c>
      <c r="J867" t="s">
        <v>49</v>
      </c>
      <c r="K867" t="s">
        <v>73</v>
      </c>
      <c r="L867" t="s">
        <v>121</v>
      </c>
      <c r="M867" t="s">
        <v>963</v>
      </c>
      <c r="N867" t="b">
        <v>0</v>
      </c>
      <c r="O867" t="b">
        <v>0</v>
      </c>
    </row>
    <row r="868" spans="1:15">
      <c r="A868">
        <v>867</v>
      </c>
      <c r="B868" s="1">
        <v>45351.814097222225</v>
      </c>
      <c r="C868" s="2">
        <v>45351.893540173609</v>
      </c>
      <c r="D868" s="2">
        <v>45351.907244386573</v>
      </c>
      <c r="E868" t="s">
        <v>9</v>
      </c>
      <c r="F868" t="s">
        <v>4</v>
      </c>
      <c r="G868" t="s">
        <v>16</v>
      </c>
      <c r="H868">
        <v>5</v>
      </c>
      <c r="I868">
        <v>3</v>
      </c>
      <c r="J868" t="s">
        <v>31</v>
      </c>
      <c r="K868" t="s">
        <v>32</v>
      </c>
      <c r="L868" t="s">
        <v>47</v>
      </c>
      <c r="M868" t="s">
        <v>964</v>
      </c>
      <c r="N868" t="b">
        <v>0</v>
      </c>
      <c r="O868" t="b">
        <v>0</v>
      </c>
    </row>
    <row r="869" spans="1:15">
      <c r="A869">
        <v>868</v>
      </c>
      <c r="B869" s="1">
        <v>45351.826273148145</v>
      </c>
      <c r="C869" s="2">
        <v>45351.900404143518</v>
      </c>
      <c r="D869" s="2">
        <v>45352.53870391204</v>
      </c>
      <c r="E869" t="s">
        <v>10</v>
      </c>
      <c r="F869" t="s">
        <v>4</v>
      </c>
      <c r="G869" t="s">
        <v>17</v>
      </c>
      <c r="H869">
        <v>6</v>
      </c>
      <c r="I869">
        <v>3</v>
      </c>
      <c r="J869" t="s">
        <v>68</v>
      </c>
      <c r="K869" t="s">
        <v>73</v>
      </c>
      <c r="L869" t="s">
        <v>85</v>
      </c>
      <c r="M869" t="s">
        <v>965</v>
      </c>
      <c r="N869" t="b">
        <v>0</v>
      </c>
      <c r="O869" t="b">
        <v>0</v>
      </c>
    </row>
    <row r="870" spans="1:15">
      <c r="A870">
        <v>869</v>
      </c>
      <c r="B870" s="1">
        <v>45351.833437499998</v>
      </c>
      <c r="C870" s="2">
        <v>45352.331777118059</v>
      </c>
      <c r="D870" s="2">
        <v>45354.112938437502</v>
      </c>
      <c r="E870" t="s">
        <v>11</v>
      </c>
      <c r="F870" t="s">
        <v>4</v>
      </c>
      <c r="G870" t="s">
        <v>17</v>
      </c>
      <c r="H870">
        <v>1</v>
      </c>
      <c r="I870">
        <v>7</v>
      </c>
      <c r="J870" t="s">
        <v>52</v>
      </c>
      <c r="K870" t="s">
        <v>71</v>
      </c>
      <c r="L870" t="s">
        <v>102</v>
      </c>
      <c r="M870" t="s">
        <v>966</v>
      </c>
      <c r="N870" t="b">
        <v>0</v>
      </c>
      <c r="O870" t="b">
        <v>0</v>
      </c>
    </row>
    <row r="871" spans="1:15">
      <c r="A871">
        <v>870</v>
      </c>
      <c r="B871" s="1">
        <v>45351.914421296293</v>
      </c>
      <c r="C871" s="2">
        <v>45352.054129583332</v>
      </c>
      <c r="D871" s="2">
        <v>45352.810184629627</v>
      </c>
      <c r="E871" t="s">
        <v>10</v>
      </c>
      <c r="F871" t="s">
        <v>4</v>
      </c>
      <c r="G871" t="s">
        <v>16</v>
      </c>
      <c r="H871">
        <v>8</v>
      </c>
      <c r="I871">
        <v>5</v>
      </c>
      <c r="J871" t="s">
        <v>52</v>
      </c>
      <c r="K871" t="s">
        <v>36</v>
      </c>
      <c r="L871" t="s">
        <v>284</v>
      </c>
      <c r="M871" t="s">
        <v>967</v>
      </c>
      <c r="N871" t="b">
        <v>0</v>
      </c>
      <c r="O871" t="b">
        <v>0</v>
      </c>
    </row>
    <row r="872" spans="1:15">
      <c r="A872">
        <v>871</v>
      </c>
      <c r="B872" s="1">
        <v>45351.924328703702</v>
      </c>
      <c r="C872" s="2">
        <v>45352.485288935182</v>
      </c>
      <c r="D872" s="2">
        <v>45354.045228171293</v>
      </c>
      <c r="E872" t="s">
        <v>11</v>
      </c>
      <c r="F872" t="s">
        <v>4</v>
      </c>
      <c r="G872" t="s">
        <v>17</v>
      </c>
      <c r="H872">
        <v>2</v>
      </c>
      <c r="I872">
        <v>10</v>
      </c>
      <c r="J872" t="s">
        <v>68</v>
      </c>
      <c r="K872" t="s">
        <v>57</v>
      </c>
      <c r="L872" t="s">
        <v>55</v>
      </c>
      <c r="M872" t="s">
        <v>968</v>
      </c>
      <c r="N872" t="b">
        <v>0</v>
      </c>
      <c r="O872" t="b">
        <v>0</v>
      </c>
    </row>
    <row r="873" spans="1:15">
      <c r="A873">
        <v>872</v>
      </c>
      <c r="B873" s="1">
        <v>45351.94771990741</v>
      </c>
      <c r="C873" s="2">
        <v>45352.026977013891</v>
      </c>
      <c r="D873" s="2">
        <v>45352.158522673613</v>
      </c>
      <c r="E873" t="s">
        <v>9</v>
      </c>
      <c r="F873" t="s">
        <v>4</v>
      </c>
      <c r="G873" t="s">
        <v>15</v>
      </c>
      <c r="H873">
        <v>1</v>
      </c>
      <c r="I873">
        <v>10</v>
      </c>
      <c r="J873" t="s">
        <v>35</v>
      </c>
      <c r="K873" t="s">
        <v>71</v>
      </c>
      <c r="L873" t="s">
        <v>138</v>
      </c>
      <c r="M873" t="s">
        <v>969</v>
      </c>
      <c r="N873" t="b">
        <v>0</v>
      </c>
      <c r="O873" t="b">
        <v>0</v>
      </c>
    </row>
    <row r="874" spans="1:15">
      <c r="A874">
        <v>873</v>
      </c>
      <c r="B874" s="1">
        <v>45351.972557870373</v>
      </c>
      <c r="C874" s="2">
        <v>45352.59474497685</v>
      </c>
      <c r="D874" s="2">
        <v>45353.32325277778</v>
      </c>
      <c r="E874" t="s">
        <v>11</v>
      </c>
      <c r="F874" t="s">
        <v>4</v>
      </c>
      <c r="G874" t="s">
        <v>15</v>
      </c>
      <c r="H874">
        <v>1</v>
      </c>
      <c r="I874">
        <v>5</v>
      </c>
      <c r="J874" t="s">
        <v>49</v>
      </c>
      <c r="K874" t="s">
        <v>71</v>
      </c>
      <c r="L874" t="s">
        <v>85</v>
      </c>
      <c r="M874" t="s">
        <v>970</v>
      </c>
      <c r="N874" t="b">
        <v>0</v>
      </c>
      <c r="O874" t="b">
        <v>0</v>
      </c>
    </row>
    <row r="875" spans="1:15">
      <c r="A875">
        <v>874</v>
      </c>
      <c r="B875" s="1">
        <v>45352.115300925929</v>
      </c>
      <c r="C875" s="2">
        <v>45352.239648391202</v>
      </c>
      <c r="D875" s="2">
        <v>45354.366500127318</v>
      </c>
      <c r="E875" t="s">
        <v>11</v>
      </c>
      <c r="F875" t="s">
        <v>4</v>
      </c>
      <c r="G875" t="s">
        <v>17</v>
      </c>
      <c r="H875">
        <v>3</v>
      </c>
      <c r="I875">
        <v>3</v>
      </c>
      <c r="J875" t="s">
        <v>49</v>
      </c>
      <c r="K875" t="s">
        <v>46</v>
      </c>
      <c r="L875" t="s">
        <v>50</v>
      </c>
      <c r="M875" t="s">
        <v>971</v>
      </c>
      <c r="N875" t="b">
        <v>0</v>
      </c>
      <c r="O875" t="b">
        <v>0</v>
      </c>
    </row>
    <row r="876" spans="1:15">
      <c r="A876">
        <v>875</v>
      </c>
      <c r="B876" s="1">
        <v>45352.17800925926</v>
      </c>
      <c r="C876" s="2">
        <v>45352.261092858796</v>
      </c>
      <c r="D876" s="2">
        <v>45352.84518960648</v>
      </c>
      <c r="E876" t="s">
        <v>10</v>
      </c>
      <c r="F876" t="s">
        <v>4</v>
      </c>
      <c r="G876" t="s">
        <v>17</v>
      </c>
      <c r="H876">
        <v>4</v>
      </c>
      <c r="I876">
        <v>9</v>
      </c>
      <c r="J876" t="s">
        <v>31</v>
      </c>
      <c r="K876" t="s">
        <v>40</v>
      </c>
      <c r="L876" t="s">
        <v>104</v>
      </c>
      <c r="M876" t="s">
        <v>972</v>
      </c>
      <c r="N876" t="b">
        <v>0</v>
      </c>
      <c r="O876" t="b">
        <v>0</v>
      </c>
    </row>
    <row r="877" spans="1:15">
      <c r="A877">
        <v>876</v>
      </c>
      <c r="B877" s="1">
        <v>45352.26290509259</v>
      </c>
      <c r="C877" s="2">
        <v>45352.849509884261</v>
      </c>
      <c r="D877" s="2">
        <v>45353.630520115737</v>
      </c>
      <c r="E877" t="s">
        <v>11</v>
      </c>
      <c r="F877" t="s">
        <v>4</v>
      </c>
      <c r="G877" t="s">
        <v>15</v>
      </c>
      <c r="H877">
        <v>1</v>
      </c>
      <c r="I877">
        <v>8</v>
      </c>
      <c r="J877" t="s">
        <v>68</v>
      </c>
      <c r="K877" t="s">
        <v>71</v>
      </c>
      <c r="L877" t="s">
        <v>60</v>
      </c>
      <c r="M877" t="s">
        <v>973</v>
      </c>
      <c r="N877" t="b">
        <v>0</v>
      </c>
      <c r="O877" t="b">
        <v>0</v>
      </c>
    </row>
    <row r="878" spans="1:15">
      <c r="A878">
        <v>877</v>
      </c>
      <c r="B878" s="1">
        <v>45352.273101851853</v>
      </c>
      <c r="C878" s="2">
        <v>45352.36269130787</v>
      </c>
      <c r="D878" s="2">
        <v>45353.930518715279</v>
      </c>
      <c r="E878" t="s">
        <v>11</v>
      </c>
      <c r="F878" t="s">
        <v>4</v>
      </c>
      <c r="G878" t="s">
        <v>17</v>
      </c>
      <c r="H878">
        <v>5</v>
      </c>
      <c r="I878">
        <v>2</v>
      </c>
      <c r="J878" t="s">
        <v>68</v>
      </c>
      <c r="K878" t="s">
        <v>32</v>
      </c>
      <c r="L878" t="s">
        <v>41</v>
      </c>
      <c r="M878" t="s">
        <v>974</v>
      </c>
      <c r="N878" t="b">
        <v>0</v>
      </c>
      <c r="O878" t="b">
        <v>0</v>
      </c>
    </row>
    <row r="879" spans="1:15">
      <c r="A879">
        <v>878</v>
      </c>
      <c r="B879" s="1">
        <v>45352.325706018521</v>
      </c>
      <c r="C879" s="2">
        <v>45352.388515231483</v>
      </c>
      <c r="D879" s="2">
        <v>45353.066257777777</v>
      </c>
      <c r="E879" t="s">
        <v>10</v>
      </c>
      <c r="F879" t="s">
        <v>4</v>
      </c>
      <c r="G879" t="s">
        <v>16</v>
      </c>
      <c r="H879">
        <v>5</v>
      </c>
      <c r="I879">
        <v>10</v>
      </c>
      <c r="J879" t="s">
        <v>49</v>
      </c>
      <c r="K879" t="s">
        <v>32</v>
      </c>
      <c r="L879" t="s">
        <v>310</v>
      </c>
      <c r="M879" t="s">
        <v>975</v>
      </c>
      <c r="N879" t="b">
        <v>0</v>
      </c>
      <c r="O879" t="b">
        <v>0</v>
      </c>
    </row>
    <row r="880" spans="1:15">
      <c r="A880">
        <v>879</v>
      </c>
      <c r="B880" s="1">
        <v>45352.616249999999</v>
      </c>
      <c r="C880" s="2">
        <v>45352.784843634261</v>
      </c>
      <c r="D880" s="2">
        <v>45354.79408699074</v>
      </c>
      <c r="E880" t="s">
        <v>11</v>
      </c>
      <c r="F880" t="s">
        <v>4</v>
      </c>
      <c r="G880" t="s">
        <v>14</v>
      </c>
      <c r="H880">
        <v>7</v>
      </c>
      <c r="I880">
        <v>3</v>
      </c>
      <c r="J880" t="s">
        <v>31</v>
      </c>
      <c r="K880" t="s">
        <v>43</v>
      </c>
      <c r="L880" t="s">
        <v>62</v>
      </c>
      <c r="M880" t="s">
        <v>976</v>
      </c>
      <c r="N880" t="b">
        <v>0</v>
      </c>
      <c r="O880" t="b">
        <v>0</v>
      </c>
    </row>
    <row r="881" spans="1:15">
      <c r="A881">
        <v>880</v>
      </c>
      <c r="B881" s="1">
        <v>45352.624942129631</v>
      </c>
      <c r="C881" s="2">
        <v>45352.725632870373</v>
      </c>
      <c r="D881" s="2">
        <v>45352.752336805555</v>
      </c>
      <c r="E881" t="s">
        <v>9</v>
      </c>
      <c r="F881" t="s">
        <v>4</v>
      </c>
      <c r="G881" t="s">
        <v>17</v>
      </c>
      <c r="H881">
        <v>1</v>
      </c>
      <c r="I881">
        <v>6</v>
      </c>
      <c r="J881" t="s">
        <v>39</v>
      </c>
      <c r="K881" t="s">
        <v>71</v>
      </c>
      <c r="L881" t="s">
        <v>171</v>
      </c>
      <c r="M881" t="s">
        <v>977</v>
      </c>
      <c r="N881" t="b">
        <v>0</v>
      </c>
      <c r="O881" t="b">
        <v>0</v>
      </c>
    </row>
    <row r="882" spans="1:15">
      <c r="A882">
        <v>881</v>
      </c>
      <c r="B882" s="1">
        <v>45352.928101851852</v>
      </c>
      <c r="C882" s="2">
        <v>45353.162285763887</v>
      </c>
      <c r="D882" s="2">
        <v>45353.682497199072</v>
      </c>
      <c r="E882" t="s">
        <v>10</v>
      </c>
      <c r="F882" t="s">
        <v>2</v>
      </c>
      <c r="G882" t="s">
        <v>15</v>
      </c>
      <c r="H882">
        <v>1</v>
      </c>
      <c r="I882">
        <v>2</v>
      </c>
      <c r="J882" t="s">
        <v>49</v>
      </c>
      <c r="K882" t="s">
        <v>71</v>
      </c>
      <c r="L882" t="s">
        <v>250</v>
      </c>
      <c r="M882" t="s">
        <v>978</v>
      </c>
      <c r="N882" t="b">
        <v>0</v>
      </c>
      <c r="O882" t="b">
        <v>0</v>
      </c>
    </row>
    <row r="883" spans="1:15">
      <c r="A883">
        <v>882</v>
      </c>
      <c r="B883" s="1">
        <v>45353.08766203704</v>
      </c>
      <c r="C883" s="2">
        <v>45353.369713275461</v>
      </c>
      <c r="D883" s="2">
        <v>45353.452939467592</v>
      </c>
      <c r="E883" t="s">
        <v>10</v>
      </c>
      <c r="F883" t="s">
        <v>4</v>
      </c>
      <c r="G883" t="s">
        <v>15</v>
      </c>
      <c r="H883">
        <v>2</v>
      </c>
      <c r="I883">
        <v>5</v>
      </c>
      <c r="J883" t="s">
        <v>49</v>
      </c>
      <c r="K883" t="s">
        <v>57</v>
      </c>
      <c r="L883" t="s">
        <v>124</v>
      </c>
      <c r="M883" t="s">
        <v>979</v>
      </c>
      <c r="N883" t="b">
        <v>0</v>
      </c>
      <c r="O883" t="b">
        <v>0</v>
      </c>
    </row>
    <row r="884" spans="1:15">
      <c r="A884">
        <v>883</v>
      </c>
      <c r="B884" s="1">
        <v>45353.102997685186</v>
      </c>
      <c r="C884" s="2">
        <v>45353.688515891205</v>
      </c>
      <c r="D884" s="2">
        <v>45355.839184583332</v>
      </c>
      <c r="E884" t="s">
        <v>11</v>
      </c>
      <c r="F884" t="s">
        <v>4</v>
      </c>
      <c r="G884" t="s">
        <v>16</v>
      </c>
      <c r="H884">
        <v>4</v>
      </c>
      <c r="I884">
        <v>7</v>
      </c>
      <c r="J884" t="s">
        <v>35</v>
      </c>
      <c r="K884" t="s">
        <v>40</v>
      </c>
      <c r="L884" t="s">
        <v>188</v>
      </c>
      <c r="M884" t="s">
        <v>980</v>
      </c>
      <c r="N884" t="b">
        <v>1</v>
      </c>
      <c r="O884" t="b">
        <v>0</v>
      </c>
    </row>
    <row r="885" spans="1:15">
      <c r="A885">
        <v>884</v>
      </c>
      <c r="B885" s="1">
        <v>45353.122187499997</v>
      </c>
      <c r="C885" s="2">
        <v>45353.306962002316</v>
      </c>
      <c r="E885" t="s">
        <v>11</v>
      </c>
      <c r="F885" t="s">
        <v>3</v>
      </c>
      <c r="G885" t="s">
        <v>17</v>
      </c>
      <c r="H885">
        <v>5</v>
      </c>
      <c r="I885">
        <v>2</v>
      </c>
      <c r="J885" t="s">
        <v>39</v>
      </c>
      <c r="K885" t="s">
        <v>32</v>
      </c>
      <c r="L885" t="s">
        <v>174</v>
      </c>
      <c r="M885" t="s">
        <v>981</v>
      </c>
      <c r="N885" t="b">
        <v>0</v>
      </c>
      <c r="O885" t="b">
        <v>0</v>
      </c>
    </row>
    <row r="886" spans="1:15">
      <c r="A886">
        <v>885</v>
      </c>
      <c r="B886" s="1">
        <v>45353.203240740739</v>
      </c>
      <c r="C886" s="2">
        <v>45353.471282500002</v>
      </c>
      <c r="D886" s="2">
        <v>45353.901788923613</v>
      </c>
      <c r="E886" t="s">
        <v>10</v>
      </c>
      <c r="F886" t="s">
        <v>4</v>
      </c>
      <c r="G886" t="s">
        <v>15</v>
      </c>
      <c r="H886">
        <v>2</v>
      </c>
      <c r="I886">
        <v>3</v>
      </c>
      <c r="J886" t="s">
        <v>39</v>
      </c>
      <c r="K886" t="s">
        <v>57</v>
      </c>
      <c r="L886" t="s">
        <v>66</v>
      </c>
      <c r="M886" t="s">
        <v>982</v>
      </c>
      <c r="N886" t="b">
        <v>0</v>
      </c>
      <c r="O886" t="b">
        <v>0</v>
      </c>
    </row>
    <row r="887" spans="1:15">
      <c r="A887">
        <v>886</v>
      </c>
      <c r="B887" s="1">
        <v>45353.317048611112</v>
      </c>
      <c r="C887" s="2">
        <v>45353.945608391201</v>
      </c>
      <c r="D887" s="2">
        <v>45355.400243113429</v>
      </c>
      <c r="E887" t="s">
        <v>11</v>
      </c>
      <c r="F887" t="s">
        <v>4</v>
      </c>
      <c r="G887" t="s">
        <v>14</v>
      </c>
      <c r="H887">
        <v>3</v>
      </c>
      <c r="I887">
        <v>8</v>
      </c>
      <c r="J887" t="s">
        <v>49</v>
      </c>
      <c r="K887" t="s">
        <v>46</v>
      </c>
      <c r="L887" t="s">
        <v>93</v>
      </c>
      <c r="M887" t="s">
        <v>983</v>
      </c>
      <c r="N887" t="b">
        <v>0</v>
      </c>
      <c r="O887" t="b">
        <v>0</v>
      </c>
    </row>
    <row r="888" spans="1:15">
      <c r="A888">
        <v>887</v>
      </c>
      <c r="B888" s="1">
        <v>45353.41783564815</v>
      </c>
      <c r="C888" s="2">
        <v>45353.462784409719</v>
      </c>
      <c r="D888" s="2">
        <v>45353.589658495373</v>
      </c>
      <c r="E888" t="s">
        <v>9</v>
      </c>
      <c r="F888" t="s">
        <v>4</v>
      </c>
      <c r="G888" t="s">
        <v>15</v>
      </c>
      <c r="H888">
        <v>5</v>
      </c>
      <c r="I888">
        <v>10</v>
      </c>
      <c r="J888" t="s">
        <v>49</v>
      </c>
      <c r="K888" t="s">
        <v>32</v>
      </c>
      <c r="L888" t="s">
        <v>253</v>
      </c>
      <c r="M888" t="s">
        <v>984</v>
      </c>
      <c r="N888" t="b">
        <v>0</v>
      </c>
      <c r="O888" t="b">
        <v>0</v>
      </c>
    </row>
    <row r="889" spans="1:15">
      <c r="A889">
        <v>888</v>
      </c>
      <c r="B889" s="1">
        <v>45353.419641203705</v>
      </c>
      <c r="C889" s="2">
        <v>45353.917492881941</v>
      </c>
      <c r="D889" s="2">
        <v>45354.545499513886</v>
      </c>
      <c r="E889" t="s">
        <v>11</v>
      </c>
      <c r="F889" t="s">
        <v>4</v>
      </c>
      <c r="G889" t="s">
        <v>17</v>
      </c>
      <c r="H889">
        <v>5</v>
      </c>
      <c r="I889">
        <v>10</v>
      </c>
      <c r="J889" t="s">
        <v>52</v>
      </c>
      <c r="K889" t="s">
        <v>32</v>
      </c>
      <c r="L889" t="s">
        <v>69</v>
      </c>
      <c r="M889" t="s">
        <v>985</v>
      </c>
      <c r="N889" t="b">
        <v>0</v>
      </c>
      <c r="O889" t="b">
        <v>0</v>
      </c>
    </row>
    <row r="890" spans="1:15">
      <c r="A890">
        <v>889</v>
      </c>
      <c r="B890" s="1">
        <v>45353.534537037034</v>
      </c>
      <c r="C890" s="2">
        <v>45353.646627303242</v>
      </c>
      <c r="D890" s="2">
        <v>45353.725578263889</v>
      </c>
      <c r="E890" t="s">
        <v>9</v>
      </c>
      <c r="F890" t="s">
        <v>4</v>
      </c>
      <c r="G890" t="s">
        <v>15</v>
      </c>
      <c r="H890">
        <v>5</v>
      </c>
      <c r="I890">
        <v>8</v>
      </c>
      <c r="J890" t="s">
        <v>49</v>
      </c>
      <c r="K890" t="s">
        <v>32</v>
      </c>
      <c r="L890" t="s">
        <v>213</v>
      </c>
      <c r="M890" t="s">
        <v>986</v>
      </c>
      <c r="N890" t="b">
        <v>0</v>
      </c>
      <c r="O890" t="b">
        <v>0</v>
      </c>
    </row>
    <row r="891" spans="1:15">
      <c r="A891">
        <v>890</v>
      </c>
      <c r="B891" s="1">
        <v>45353.55846064815</v>
      </c>
      <c r="C891" s="2">
        <v>45353.755593611109</v>
      </c>
      <c r="D891" s="2">
        <v>45354.388572615739</v>
      </c>
      <c r="E891" t="s">
        <v>10</v>
      </c>
      <c r="F891" t="s">
        <v>2</v>
      </c>
      <c r="G891" t="s">
        <v>16</v>
      </c>
      <c r="H891">
        <v>6</v>
      </c>
      <c r="I891">
        <v>10</v>
      </c>
      <c r="J891" t="s">
        <v>39</v>
      </c>
      <c r="K891" t="s">
        <v>73</v>
      </c>
      <c r="L891" t="s">
        <v>284</v>
      </c>
      <c r="M891" t="s">
        <v>987</v>
      </c>
      <c r="N891" t="b">
        <v>0</v>
      </c>
      <c r="O891" t="b">
        <v>0</v>
      </c>
    </row>
    <row r="892" spans="1:15">
      <c r="A892">
        <v>891</v>
      </c>
      <c r="B892" s="1">
        <v>45353.604155092595</v>
      </c>
      <c r="C892" s="2">
        <v>45353.716616180558</v>
      </c>
      <c r="D892" s="2">
        <v>45354.138875046294</v>
      </c>
      <c r="E892" t="s">
        <v>10</v>
      </c>
      <c r="F892" t="s">
        <v>4</v>
      </c>
      <c r="G892" t="s">
        <v>14</v>
      </c>
      <c r="H892">
        <v>7</v>
      </c>
      <c r="I892">
        <v>2</v>
      </c>
      <c r="J892" t="s">
        <v>52</v>
      </c>
      <c r="K892" t="s">
        <v>43</v>
      </c>
      <c r="L892" t="s">
        <v>117</v>
      </c>
      <c r="M892" t="s">
        <v>988</v>
      </c>
      <c r="N892" t="b">
        <v>0</v>
      </c>
      <c r="O892" t="b">
        <v>0</v>
      </c>
    </row>
    <row r="893" spans="1:15">
      <c r="A893">
        <v>892</v>
      </c>
      <c r="B893" s="1">
        <v>45353.62835648148</v>
      </c>
      <c r="C893" s="2">
        <v>45353.71336509259</v>
      </c>
      <c r="D893" s="2">
        <v>45354.534993136571</v>
      </c>
      <c r="E893" t="s">
        <v>10</v>
      </c>
      <c r="F893" t="s">
        <v>4</v>
      </c>
      <c r="G893" t="s">
        <v>17</v>
      </c>
      <c r="H893">
        <v>7</v>
      </c>
      <c r="I893">
        <v>3</v>
      </c>
      <c r="J893" t="s">
        <v>39</v>
      </c>
      <c r="K893" t="s">
        <v>43</v>
      </c>
      <c r="L893" t="s">
        <v>250</v>
      </c>
      <c r="M893" t="s">
        <v>989</v>
      </c>
      <c r="N893" t="b">
        <v>1</v>
      </c>
      <c r="O893" t="b">
        <v>0</v>
      </c>
    </row>
    <row r="894" spans="1:15">
      <c r="A894">
        <v>893</v>
      </c>
      <c r="B894" s="1">
        <v>45353.713310185187</v>
      </c>
      <c r="C894" s="2">
        <v>45353.983278391206</v>
      </c>
      <c r="D894" s="2">
        <v>45355.48406894676</v>
      </c>
      <c r="E894" t="s">
        <v>11</v>
      </c>
      <c r="F894" t="s">
        <v>4</v>
      </c>
      <c r="G894" t="s">
        <v>17</v>
      </c>
      <c r="H894">
        <v>8</v>
      </c>
      <c r="I894">
        <v>5</v>
      </c>
      <c r="J894" t="s">
        <v>31</v>
      </c>
      <c r="K894" t="s">
        <v>36</v>
      </c>
      <c r="L894" t="s">
        <v>221</v>
      </c>
      <c r="M894" t="s">
        <v>990</v>
      </c>
      <c r="N894" t="b">
        <v>0</v>
      </c>
      <c r="O894" t="b">
        <v>0</v>
      </c>
    </row>
    <row r="895" spans="1:15">
      <c r="A895">
        <v>894</v>
      </c>
      <c r="B895" s="1">
        <v>45353.817083333335</v>
      </c>
      <c r="C895" s="2">
        <v>45354.519375381948</v>
      </c>
      <c r="D895" s="2">
        <v>45355.34910712963</v>
      </c>
      <c r="E895" t="s">
        <v>11</v>
      </c>
      <c r="F895" t="s">
        <v>4</v>
      </c>
      <c r="G895" t="s">
        <v>14</v>
      </c>
      <c r="H895">
        <v>4</v>
      </c>
      <c r="I895">
        <v>10</v>
      </c>
      <c r="J895" t="s">
        <v>39</v>
      </c>
      <c r="K895" t="s">
        <v>40</v>
      </c>
      <c r="L895" t="s">
        <v>134</v>
      </c>
      <c r="M895" t="s">
        <v>991</v>
      </c>
      <c r="N895" t="b">
        <v>0</v>
      </c>
      <c r="O895" t="b">
        <v>0</v>
      </c>
    </row>
    <row r="896" spans="1:15">
      <c r="A896">
        <v>895</v>
      </c>
      <c r="B896" s="1">
        <v>45353.859236111108</v>
      </c>
      <c r="C896" s="2">
        <v>45354.331867442132</v>
      </c>
      <c r="D896" s="2">
        <v>45356.12279050926</v>
      </c>
      <c r="E896" t="s">
        <v>11</v>
      </c>
      <c r="F896" t="s">
        <v>4</v>
      </c>
      <c r="G896" t="s">
        <v>15</v>
      </c>
      <c r="H896">
        <v>3</v>
      </c>
      <c r="I896">
        <v>8</v>
      </c>
      <c r="J896" t="s">
        <v>31</v>
      </c>
      <c r="K896" t="s">
        <v>46</v>
      </c>
      <c r="L896" t="s">
        <v>110</v>
      </c>
      <c r="M896" t="s">
        <v>992</v>
      </c>
      <c r="N896" t="b">
        <v>0</v>
      </c>
      <c r="O896" t="b">
        <v>0</v>
      </c>
    </row>
    <row r="897" spans="1:15">
      <c r="A897">
        <v>896</v>
      </c>
      <c r="B897" s="1">
        <v>45353.896145833336</v>
      </c>
      <c r="C897" s="2">
        <v>45354.118079027779</v>
      </c>
      <c r="E897" t="s">
        <v>10</v>
      </c>
      <c r="F897" t="s">
        <v>80</v>
      </c>
      <c r="G897" t="s">
        <v>15</v>
      </c>
      <c r="H897">
        <v>3</v>
      </c>
      <c r="I897">
        <v>4</v>
      </c>
      <c r="J897" t="s">
        <v>49</v>
      </c>
      <c r="K897" t="s">
        <v>46</v>
      </c>
      <c r="L897" t="s">
        <v>102</v>
      </c>
      <c r="M897" t="s">
        <v>993</v>
      </c>
      <c r="N897" t="b">
        <v>0</v>
      </c>
      <c r="O897" t="b">
        <v>0</v>
      </c>
    </row>
    <row r="898" spans="1:15">
      <c r="A898">
        <v>897</v>
      </c>
      <c r="B898" s="1">
        <v>45353.908912037034</v>
      </c>
      <c r="C898" s="2">
        <v>45353.97234699074</v>
      </c>
      <c r="D898" s="2">
        <v>45354.563839756942</v>
      </c>
      <c r="E898" t="s">
        <v>10</v>
      </c>
      <c r="F898" t="s">
        <v>4</v>
      </c>
      <c r="G898" t="s">
        <v>14</v>
      </c>
      <c r="H898">
        <v>3</v>
      </c>
      <c r="I898">
        <v>1</v>
      </c>
      <c r="J898" t="s">
        <v>39</v>
      </c>
      <c r="K898" t="s">
        <v>46</v>
      </c>
      <c r="L898" t="s">
        <v>53</v>
      </c>
      <c r="M898" t="s">
        <v>994</v>
      </c>
      <c r="N898" t="b">
        <v>0</v>
      </c>
      <c r="O898" t="b">
        <v>0</v>
      </c>
    </row>
    <row r="899" spans="1:15">
      <c r="A899">
        <v>898</v>
      </c>
      <c r="B899" s="1">
        <v>45353.960439814815</v>
      </c>
      <c r="C899" s="2">
        <v>45354.07181666667</v>
      </c>
      <c r="D899" s="2">
        <v>45354.066556956015</v>
      </c>
      <c r="E899" t="s">
        <v>9</v>
      </c>
      <c r="F899" t="s">
        <v>2</v>
      </c>
      <c r="G899" t="s">
        <v>14</v>
      </c>
      <c r="H899">
        <v>5</v>
      </c>
      <c r="I899">
        <v>7</v>
      </c>
      <c r="J899" t="s">
        <v>35</v>
      </c>
      <c r="K899" t="s">
        <v>32</v>
      </c>
      <c r="L899" t="s">
        <v>121</v>
      </c>
      <c r="M899" t="s">
        <v>995</v>
      </c>
      <c r="N899" t="b">
        <v>0</v>
      </c>
      <c r="O899" t="b">
        <v>0</v>
      </c>
    </row>
    <row r="900" spans="1:15">
      <c r="A900">
        <v>899</v>
      </c>
      <c r="B900" s="1">
        <v>45354.05363425926</v>
      </c>
      <c r="C900" s="2">
        <v>45354.372876875001</v>
      </c>
      <c r="D900" s="2">
        <v>45354.536212523148</v>
      </c>
      <c r="E900" t="s">
        <v>10</v>
      </c>
      <c r="F900" t="s">
        <v>4</v>
      </c>
      <c r="G900" t="s">
        <v>15</v>
      </c>
      <c r="H900">
        <v>5</v>
      </c>
      <c r="I900">
        <v>4</v>
      </c>
      <c r="J900" t="s">
        <v>35</v>
      </c>
      <c r="K900" t="s">
        <v>32</v>
      </c>
      <c r="L900" t="s">
        <v>102</v>
      </c>
      <c r="M900" t="s">
        <v>996</v>
      </c>
      <c r="N900" t="b">
        <v>0</v>
      </c>
      <c r="O900" t="b">
        <v>0</v>
      </c>
    </row>
    <row r="901" spans="1:15">
      <c r="A901">
        <v>900</v>
      </c>
      <c r="B901" s="1">
        <v>45354.123807870368</v>
      </c>
      <c r="C901" s="2">
        <v>45354.207870069447</v>
      </c>
      <c r="D901" s="2">
        <v>45354.35019917824</v>
      </c>
      <c r="E901" t="s">
        <v>9</v>
      </c>
      <c r="F901" t="s">
        <v>4</v>
      </c>
      <c r="G901" t="s">
        <v>15</v>
      </c>
      <c r="H901">
        <v>1</v>
      </c>
      <c r="I901">
        <v>3</v>
      </c>
      <c r="J901" t="s">
        <v>35</v>
      </c>
      <c r="K901" t="s">
        <v>71</v>
      </c>
      <c r="L901" t="s">
        <v>131</v>
      </c>
      <c r="M901" t="s">
        <v>997</v>
      </c>
      <c r="N901" t="b">
        <v>0</v>
      </c>
      <c r="O901" t="b">
        <v>0</v>
      </c>
    </row>
    <row r="902" spans="1:15">
      <c r="A902">
        <v>901</v>
      </c>
      <c r="B902" s="1">
        <v>45354.350682870368</v>
      </c>
      <c r="C902" s="2">
        <v>45354.627641782405</v>
      </c>
      <c r="D902" s="2">
        <v>45355.00356607639</v>
      </c>
      <c r="E902" t="s">
        <v>10</v>
      </c>
      <c r="F902" t="s">
        <v>2</v>
      </c>
      <c r="G902" t="s">
        <v>14</v>
      </c>
      <c r="H902">
        <v>8</v>
      </c>
      <c r="I902">
        <v>3</v>
      </c>
      <c r="J902" t="s">
        <v>39</v>
      </c>
      <c r="K902" t="s">
        <v>36</v>
      </c>
      <c r="L902" t="s">
        <v>121</v>
      </c>
      <c r="M902" t="s">
        <v>998</v>
      </c>
      <c r="N902" t="b">
        <v>0</v>
      </c>
      <c r="O902" t="b">
        <v>0</v>
      </c>
    </row>
    <row r="903" spans="1:15">
      <c r="A903">
        <v>902</v>
      </c>
      <c r="B903" s="1">
        <v>45354.371840277781</v>
      </c>
      <c r="C903" s="2">
        <v>45355.050349409721</v>
      </c>
      <c r="D903" s="2">
        <v>45355.222465347222</v>
      </c>
      <c r="E903" t="s">
        <v>11</v>
      </c>
      <c r="F903" t="s">
        <v>4</v>
      </c>
      <c r="G903" t="s">
        <v>15</v>
      </c>
      <c r="H903">
        <v>1</v>
      </c>
      <c r="I903">
        <v>3</v>
      </c>
      <c r="J903" t="s">
        <v>52</v>
      </c>
      <c r="K903" t="s">
        <v>71</v>
      </c>
      <c r="L903" t="s">
        <v>310</v>
      </c>
      <c r="M903" t="s">
        <v>999</v>
      </c>
      <c r="N903" t="b">
        <v>0</v>
      </c>
      <c r="O903" t="b">
        <v>0</v>
      </c>
    </row>
    <row r="904" spans="1:15">
      <c r="A904">
        <v>903</v>
      </c>
      <c r="B904" s="1">
        <v>45354.376087962963</v>
      </c>
      <c r="C904" s="2">
        <v>45354.982064351854</v>
      </c>
      <c r="E904" t="s">
        <v>11</v>
      </c>
      <c r="F904" t="s">
        <v>80</v>
      </c>
      <c r="G904" t="s">
        <v>17</v>
      </c>
      <c r="H904">
        <v>4</v>
      </c>
      <c r="I904">
        <v>4</v>
      </c>
      <c r="J904" t="s">
        <v>31</v>
      </c>
      <c r="K904" t="s">
        <v>40</v>
      </c>
      <c r="L904" t="s">
        <v>98</v>
      </c>
      <c r="M904" t="s">
        <v>1000</v>
      </c>
      <c r="N904" t="b">
        <v>1</v>
      </c>
      <c r="O904" t="b">
        <v>0</v>
      </c>
    </row>
    <row r="905" spans="1:15">
      <c r="A905">
        <v>904</v>
      </c>
      <c r="B905" s="1">
        <v>45354.390081018515</v>
      </c>
      <c r="C905" s="2">
        <v>45355.121611331022</v>
      </c>
      <c r="D905" s="2">
        <v>45356.041182187502</v>
      </c>
      <c r="E905" t="s">
        <v>11</v>
      </c>
      <c r="F905" t="s">
        <v>4</v>
      </c>
      <c r="G905" t="s">
        <v>14</v>
      </c>
      <c r="H905">
        <v>4</v>
      </c>
      <c r="I905">
        <v>7</v>
      </c>
      <c r="J905" t="s">
        <v>49</v>
      </c>
      <c r="K905" t="s">
        <v>40</v>
      </c>
      <c r="L905" t="s">
        <v>200</v>
      </c>
      <c r="M905" t="s">
        <v>1001</v>
      </c>
      <c r="N905" t="b">
        <v>0</v>
      </c>
      <c r="O905" t="b">
        <v>0</v>
      </c>
    </row>
    <row r="906" spans="1:15">
      <c r="A906">
        <v>905</v>
      </c>
      <c r="B906" s="1">
        <v>45354.564467592594</v>
      </c>
      <c r="C906" s="2">
        <v>45354.626800694445</v>
      </c>
      <c r="E906" t="s">
        <v>8</v>
      </c>
      <c r="F906" t="s">
        <v>3</v>
      </c>
      <c r="G906" t="s">
        <v>17</v>
      </c>
      <c r="H906">
        <v>3</v>
      </c>
      <c r="I906">
        <v>2</v>
      </c>
      <c r="J906" t="s">
        <v>35</v>
      </c>
      <c r="K906" t="s">
        <v>46</v>
      </c>
      <c r="L906" t="s">
        <v>104</v>
      </c>
      <c r="M906" t="s">
        <v>1002</v>
      </c>
      <c r="N906" t="b">
        <v>1</v>
      </c>
      <c r="O906" t="b">
        <v>0</v>
      </c>
    </row>
    <row r="907" spans="1:15">
      <c r="A907">
        <v>906</v>
      </c>
      <c r="B907" s="1">
        <v>45354.575636574074</v>
      </c>
      <c r="C907" s="2">
        <v>45354.755354131943</v>
      </c>
      <c r="D907" s="2">
        <v>45355.040757025461</v>
      </c>
      <c r="E907" t="s">
        <v>10</v>
      </c>
      <c r="F907" t="s">
        <v>4</v>
      </c>
      <c r="G907" t="s">
        <v>17</v>
      </c>
      <c r="H907">
        <v>2</v>
      </c>
      <c r="I907">
        <v>5</v>
      </c>
      <c r="J907" t="s">
        <v>52</v>
      </c>
      <c r="K907" t="s">
        <v>57</v>
      </c>
      <c r="L907" t="s">
        <v>69</v>
      </c>
      <c r="M907" t="s">
        <v>1003</v>
      </c>
      <c r="N907" t="b">
        <v>0</v>
      </c>
      <c r="O907" t="b">
        <v>0</v>
      </c>
    </row>
    <row r="908" spans="1:15">
      <c r="A908">
        <v>907</v>
      </c>
      <c r="B908" s="1">
        <v>45354.596979166665</v>
      </c>
      <c r="C908" s="2">
        <v>45354.684484016201</v>
      </c>
      <c r="D908" s="2">
        <v>45354.880426249998</v>
      </c>
      <c r="E908" t="s">
        <v>9</v>
      </c>
      <c r="F908" t="s">
        <v>4</v>
      </c>
      <c r="G908" t="s">
        <v>14</v>
      </c>
      <c r="H908">
        <v>5</v>
      </c>
      <c r="I908">
        <v>10</v>
      </c>
      <c r="J908" t="s">
        <v>68</v>
      </c>
      <c r="K908" t="s">
        <v>32</v>
      </c>
      <c r="L908" t="s">
        <v>37</v>
      </c>
      <c r="M908" t="s">
        <v>1004</v>
      </c>
      <c r="N908" t="b">
        <v>0</v>
      </c>
      <c r="O908" t="b">
        <v>0</v>
      </c>
    </row>
    <row r="909" spans="1:15">
      <c r="A909">
        <v>908</v>
      </c>
      <c r="B909" s="1">
        <v>45354.607592592591</v>
      </c>
      <c r="C909" s="2">
        <v>45354.8237233912</v>
      </c>
      <c r="D909" s="2">
        <v>45355.553988078704</v>
      </c>
      <c r="E909" t="s">
        <v>10</v>
      </c>
      <c r="F909" t="s">
        <v>4</v>
      </c>
      <c r="G909" t="s">
        <v>16</v>
      </c>
      <c r="H909">
        <v>1</v>
      </c>
      <c r="I909">
        <v>10</v>
      </c>
      <c r="J909" t="s">
        <v>39</v>
      </c>
      <c r="K909" t="s">
        <v>71</v>
      </c>
      <c r="L909" t="s">
        <v>153</v>
      </c>
      <c r="M909" t="s">
        <v>1005</v>
      </c>
      <c r="N909" t="b">
        <v>1</v>
      </c>
      <c r="O909" t="b">
        <v>0</v>
      </c>
    </row>
    <row r="910" spans="1:15">
      <c r="A910">
        <v>909</v>
      </c>
      <c r="B910" s="1">
        <v>45354.772511574076</v>
      </c>
      <c r="C910" s="2">
        <v>45355.081671770837</v>
      </c>
      <c r="E910" t="s">
        <v>10</v>
      </c>
      <c r="F910" t="s">
        <v>80</v>
      </c>
      <c r="G910" t="s">
        <v>14</v>
      </c>
      <c r="H910">
        <v>6</v>
      </c>
      <c r="I910">
        <v>9</v>
      </c>
      <c r="J910" t="s">
        <v>49</v>
      </c>
      <c r="K910" t="s">
        <v>73</v>
      </c>
      <c r="L910" t="s">
        <v>253</v>
      </c>
      <c r="M910" t="s">
        <v>1006</v>
      </c>
      <c r="N910" t="b">
        <v>0</v>
      </c>
      <c r="O910" t="b">
        <v>0</v>
      </c>
    </row>
    <row r="911" spans="1:15">
      <c r="A911">
        <v>910</v>
      </c>
      <c r="B911" s="1">
        <v>45354.784039351849</v>
      </c>
      <c r="C911" s="2">
        <v>45355.07198533565</v>
      </c>
      <c r="D911" s="2">
        <v>45356.871215115738</v>
      </c>
      <c r="E911" t="s">
        <v>11</v>
      </c>
      <c r="F911" t="s">
        <v>4</v>
      </c>
      <c r="G911" t="s">
        <v>17</v>
      </c>
      <c r="H911">
        <v>6</v>
      </c>
      <c r="I911">
        <v>3</v>
      </c>
      <c r="J911" t="s">
        <v>68</v>
      </c>
      <c r="K911" t="s">
        <v>73</v>
      </c>
      <c r="L911" t="s">
        <v>121</v>
      </c>
      <c r="M911" t="s">
        <v>1007</v>
      </c>
      <c r="N911" t="b">
        <v>0</v>
      </c>
      <c r="O911" t="b">
        <v>0</v>
      </c>
    </row>
    <row r="912" spans="1:15">
      <c r="A912">
        <v>911</v>
      </c>
      <c r="B912" s="1">
        <v>45354.821111111109</v>
      </c>
      <c r="C912" s="2">
        <v>45354.902321782407</v>
      </c>
      <c r="D912" s="2">
        <v>45355.092695312502</v>
      </c>
      <c r="E912" t="s">
        <v>10</v>
      </c>
      <c r="F912" t="s">
        <v>4</v>
      </c>
      <c r="G912" t="s">
        <v>16</v>
      </c>
      <c r="H912">
        <v>7</v>
      </c>
      <c r="I912">
        <v>2</v>
      </c>
      <c r="J912" t="s">
        <v>52</v>
      </c>
      <c r="K912" t="s">
        <v>43</v>
      </c>
      <c r="L912" t="s">
        <v>93</v>
      </c>
      <c r="M912" t="s">
        <v>1008</v>
      </c>
      <c r="N912" t="b">
        <v>0</v>
      </c>
      <c r="O912" t="b">
        <v>0</v>
      </c>
    </row>
    <row r="913" spans="1:15">
      <c r="A913">
        <v>912</v>
      </c>
      <c r="B913" s="1">
        <v>45354.872442129628</v>
      </c>
      <c r="C913" s="2">
        <v>45354.96003465278</v>
      </c>
      <c r="D913" s="2">
        <v>45355.431830694448</v>
      </c>
      <c r="E913" t="s">
        <v>10</v>
      </c>
      <c r="F913" t="s">
        <v>4</v>
      </c>
      <c r="G913" t="s">
        <v>17</v>
      </c>
      <c r="H913">
        <v>7</v>
      </c>
      <c r="I913">
        <v>9</v>
      </c>
      <c r="J913" t="s">
        <v>35</v>
      </c>
      <c r="K913" t="s">
        <v>43</v>
      </c>
      <c r="L913" t="s">
        <v>78</v>
      </c>
      <c r="M913" t="s">
        <v>1009</v>
      </c>
      <c r="N913" t="b">
        <v>0</v>
      </c>
      <c r="O913" t="b">
        <v>0</v>
      </c>
    </row>
    <row r="914" spans="1:15">
      <c r="A914">
        <v>913</v>
      </c>
      <c r="B914" s="1">
        <v>45354.919236111113</v>
      </c>
      <c r="C914" s="2">
        <v>45355.164831666669</v>
      </c>
      <c r="D914" s="2">
        <v>45355.652943136571</v>
      </c>
      <c r="E914" t="s">
        <v>10</v>
      </c>
      <c r="F914" t="s">
        <v>2</v>
      </c>
      <c r="G914" t="s">
        <v>15</v>
      </c>
      <c r="H914">
        <v>8</v>
      </c>
      <c r="I914">
        <v>5</v>
      </c>
      <c r="J914" t="s">
        <v>39</v>
      </c>
      <c r="K914" t="s">
        <v>36</v>
      </c>
      <c r="L914" t="s">
        <v>153</v>
      </c>
      <c r="M914" t="s">
        <v>1010</v>
      </c>
      <c r="N914" t="b">
        <v>0</v>
      </c>
      <c r="O914" t="b">
        <v>0</v>
      </c>
    </row>
    <row r="915" spans="1:15">
      <c r="A915">
        <v>914</v>
      </c>
      <c r="B915" s="1">
        <v>45355.284178240741</v>
      </c>
      <c r="C915" s="2">
        <v>45355.471525833331</v>
      </c>
      <c r="E915" t="s">
        <v>11</v>
      </c>
      <c r="F915" t="s">
        <v>80</v>
      </c>
      <c r="G915" t="s">
        <v>15</v>
      </c>
      <c r="H915">
        <v>2</v>
      </c>
      <c r="I915">
        <v>5</v>
      </c>
      <c r="J915" t="s">
        <v>35</v>
      </c>
      <c r="K915" t="s">
        <v>57</v>
      </c>
      <c r="L915" t="s">
        <v>124</v>
      </c>
      <c r="M915" t="s">
        <v>1011</v>
      </c>
      <c r="N915" t="b">
        <v>0</v>
      </c>
      <c r="O915" t="b">
        <v>0</v>
      </c>
    </row>
    <row r="916" spans="1:15">
      <c r="A916">
        <v>915</v>
      </c>
      <c r="B916" s="1">
        <v>45355.431400462963</v>
      </c>
      <c r="C916" s="2">
        <v>45355.546238020834</v>
      </c>
      <c r="D916" s="2">
        <v>45355.652757673612</v>
      </c>
      <c r="E916" t="s">
        <v>9</v>
      </c>
      <c r="F916" t="s">
        <v>2</v>
      </c>
      <c r="G916" t="s">
        <v>15</v>
      </c>
      <c r="H916">
        <v>7</v>
      </c>
      <c r="I916">
        <v>5</v>
      </c>
      <c r="J916" t="s">
        <v>52</v>
      </c>
      <c r="K916" t="s">
        <v>43</v>
      </c>
      <c r="L916" t="s">
        <v>131</v>
      </c>
      <c r="M916" t="s">
        <v>1012</v>
      </c>
      <c r="N916" t="b">
        <v>0</v>
      </c>
      <c r="O916" t="b">
        <v>0</v>
      </c>
    </row>
    <row r="917" spans="1:15">
      <c r="A917">
        <v>916</v>
      </c>
      <c r="B917" s="1">
        <v>45355.48841435185</v>
      </c>
      <c r="C917" s="2">
        <v>45356.299792083337</v>
      </c>
      <c r="D917" s="2">
        <v>45357.348472685182</v>
      </c>
      <c r="E917" t="s">
        <v>11</v>
      </c>
      <c r="F917" t="s">
        <v>4</v>
      </c>
      <c r="G917" t="s">
        <v>15</v>
      </c>
      <c r="H917">
        <v>5</v>
      </c>
      <c r="I917">
        <v>2</v>
      </c>
      <c r="J917" t="s">
        <v>35</v>
      </c>
      <c r="K917" t="s">
        <v>32</v>
      </c>
      <c r="L917" t="s">
        <v>50</v>
      </c>
      <c r="M917" t="s">
        <v>1013</v>
      </c>
      <c r="N917" t="b">
        <v>0</v>
      </c>
      <c r="O917" t="b">
        <v>0</v>
      </c>
    </row>
    <row r="918" spans="1:15">
      <c r="A918">
        <v>917</v>
      </c>
      <c r="B918" s="1">
        <v>45355.507905092592</v>
      </c>
      <c r="C918" s="2">
        <v>45355.714430254629</v>
      </c>
      <c r="D918" s="2">
        <v>45356.104795358799</v>
      </c>
      <c r="E918" t="s">
        <v>10</v>
      </c>
      <c r="F918" t="s">
        <v>2</v>
      </c>
      <c r="G918" t="s">
        <v>14</v>
      </c>
      <c r="H918">
        <v>1</v>
      </c>
      <c r="I918">
        <v>8</v>
      </c>
      <c r="J918" t="s">
        <v>31</v>
      </c>
      <c r="K918" t="s">
        <v>71</v>
      </c>
      <c r="L918" t="s">
        <v>64</v>
      </c>
      <c r="M918" t="s">
        <v>1014</v>
      </c>
      <c r="N918" t="b">
        <v>0</v>
      </c>
      <c r="O918" t="b">
        <v>0</v>
      </c>
    </row>
    <row r="919" spans="1:15">
      <c r="A919">
        <v>918</v>
      </c>
      <c r="B919" s="1">
        <v>45355.592858796299</v>
      </c>
      <c r="C919" s="2">
        <v>45355.632897731484</v>
      </c>
      <c r="D919" s="2">
        <v>45355.747200451391</v>
      </c>
      <c r="E919" t="s">
        <v>9</v>
      </c>
      <c r="F919" t="s">
        <v>4</v>
      </c>
      <c r="G919" t="s">
        <v>15</v>
      </c>
      <c r="H919">
        <v>8</v>
      </c>
      <c r="I919">
        <v>3</v>
      </c>
      <c r="J919" t="s">
        <v>39</v>
      </c>
      <c r="K919" t="s">
        <v>36</v>
      </c>
      <c r="L919" t="s">
        <v>104</v>
      </c>
      <c r="M919" t="s">
        <v>1015</v>
      </c>
      <c r="N919" t="b">
        <v>0</v>
      </c>
      <c r="O919" t="b">
        <v>0</v>
      </c>
    </row>
    <row r="920" spans="1:15">
      <c r="A920">
        <v>919</v>
      </c>
      <c r="B920" s="1">
        <v>45355.665486111109</v>
      </c>
      <c r="C920" s="2">
        <v>45355.851893217594</v>
      </c>
      <c r="D920" s="2">
        <v>45358.319072638886</v>
      </c>
      <c r="E920" t="s">
        <v>11</v>
      </c>
      <c r="F920" t="s">
        <v>4</v>
      </c>
      <c r="G920" t="s">
        <v>17</v>
      </c>
      <c r="H920">
        <v>7</v>
      </c>
      <c r="I920">
        <v>3</v>
      </c>
      <c r="J920" t="s">
        <v>35</v>
      </c>
      <c r="K920" t="s">
        <v>43</v>
      </c>
      <c r="L920" t="s">
        <v>200</v>
      </c>
      <c r="M920" t="s">
        <v>1016</v>
      </c>
      <c r="N920" t="b">
        <v>0</v>
      </c>
      <c r="O920" t="b">
        <v>0</v>
      </c>
    </row>
    <row r="921" spans="1:15">
      <c r="A921">
        <v>920</v>
      </c>
      <c r="B921" s="1">
        <v>45355.824340277781</v>
      </c>
      <c r="C921" s="2">
        <v>45355.88305329861</v>
      </c>
      <c r="D921" s="2">
        <v>45355.869038599536</v>
      </c>
      <c r="E921" t="s">
        <v>8</v>
      </c>
      <c r="F921" t="s">
        <v>4</v>
      </c>
      <c r="G921" t="s">
        <v>16</v>
      </c>
      <c r="H921">
        <v>3</v>
      </c>
      <c r="I921">
        <v>8</v>
      </c>
      <c r="J921" t="s">
        <v>31</v>
      </c>
      <c r="K921" t="s">
        <v>46</v>
      </c>
      <c r="L921" t="s">
        <v>164</v>
      </c>
      <c r="M921" t="s">
        <v>1017</v>
      </c>
      <c r="N921" t="b">
        <v>1</v>
      </c>
      <c r="O921" t="b">
        <v>0</v>
      </c>
    </row>
    <row r="922" spans="1:15">
      <c r="A922">
        <v>921</v>
      </c>
      <c r="B922" s="1">
        <v>45355.838391203702</v>
      </c>
      <c r="C922" s="2">
        <v>45356.584814421294</v>
      </c>
      <c r="D922" s="2">
        <v>45357.728051435188</v>
      </c>
      <c r="E922" t="s">
        <v>11</v>
      </c>
      <c r="F922" t="s">
        <v>2</v>
      </c>
      <c r="G922" t="s">
        <v>15</v>
      </c>
      <c r="H922">
        <v>8</v>
      </c>
      <c r="I922">
        <v>8</v>
      </c>
      <c r="J922" t="s">
        <v>52</v>
      </c>
      <c r="K922" t="s">
        <v>36</v>
      </c>
      <c r="L922" t="s">
        <v>200</v>
      </c>
      <c r="M922" t="s">
        <v>1018</v>
      </c>
      <c r="N922" t="b">
        <v>0</v>
      </c>
      <c r="O922" t="b">
        <v>0</v>
      </c>
    </row>
    <row r="923" spans="1:15">
      <c r="A923">
        <v>922</v>
      </c>
      <c r="B923" s="1">
        <v>45355.841273148151</v>
      </c>
      <c r="C923" s="2">
        <v>45355.948731921293</v>
      </c>
      <c r="D923" s="2">
        <v>45356.020383194445</v>
      </c>
      <c r="E923" t="s">
        <v>9</v>
      </c>
      <c r="F923" t="s">
        <v>4</v>
      </c>
      <c r="G923" t="s">
        <v>17</v>
      </c>
      <c r="H923">
        <v>6</v>
      </c>
      <c r="I923">
        <v>9</v>
      </c>
      <c r="J923" t="s">
        <v>35</v>
      </c>
      <c r="K923" t="s">
        <v>73</v>
      </c>
      <c r="L923" t="s">
        <v>310</v>
      </c>
      <c r="M923" t="s">
        <v>1019</v>
      </c>
      <c r="N923" t="b">
        <v>0</v>
      </c>
      <c r="O923" t="b">
        <v>0</v>
      </c>
    </row>
    <row r="924" spans="1:15">
      <c r="A924">
        <v>923</v>
      </c>
      <c r="B924" s="1">
        <v>45355.934062499997</v>
      </c>
      <c r="C924" s="2">
        <v>45356.218412997689</v>
      </c>
      <c r="D924" s="2">
        <v>45356.38103271991</v>
      </c>
      <c r="E924" t="s">
        <v>10</v>
      </c>
      <c r="F924" t="s">
        <v>2</v>
      </c>
      <c r="G924" t="s">
        <v>16</v>
      </c>
      <c r="H924">
        <v>4</v>
      </c>
      <c r="I924">
        <v>8</v>
      </c>
      <c r="J924" t="s">
        <v>52</v>
      </c>
      <c r="K924" t="s">
        <v>40</v>
      </c>
      <c r="L924" t="s">
        <v>100</v>
      </c>
      <c r="M924" t="s">
        <v>1020</v>
      </c>
      <c r="N924" t="b">
        <v>0</v>
      </c>
      <c r="O924" t="b">
        <v>0</v>
      </c>
    </row>
    <row r="925" spans="1:15">
      <c r="A925">
        <v>924</v>
      </c>
      <c r="B925" s="1">
        <v>45356.012291666666</v>
      </c>
      <c r="C925" s="2">
        <v>45356.154658749998</v>
      </c>
      <c r="D925" s="2">
        <v>45356.683625613427</v>
      </c>
      <c r="E925" t="s">
        <v>10</v>
      </c>
      <c r="F925" t="s">
        <v>4</v>
      </c>
      <c r="G925" t="s">
        <v>15</v>
      </c>
      <c r="H925">
        <v>2</v>
      </c>
      <c r="I925">
        <v>1</v>
      </c>
      <c r="J925" t="s">
        <v>49</v>
      </c>
      <c r="K925" t="s">
        <v>57</v>
      </c>
      <c r="L925" t="s">
        <v>110</v>
      </c>
      <c r="M925" t="s">
        <v>1021</v>
      </c>
      <c r="N925" t="b">
        <v>0</v>
      </c>
      <c r="O925" t="b">
        <v>0</v>
      </c>
    </row>
    <row r="926" spans="1:15">
      <c r="A926">
        <v>925</v>
      </c>
      <c r="B926" s="1">
        <v>45356.135925925926</v>
      </c>
      <c r="C926" s="2">
        <v>45356.414459375002</v>
      </c>
      <c r="D926" s="2">
        <v>45357.810600543984</v>
      </c>
      <c r="E926" t="s">
        <v>11</v>
      </c>
      <c r="F926" t="s">
        <v>4</v>
      </c>
      <c r="G926" t="s">
        <v>15</v>
      </c>
      <c r="H926">
        <v>6</v>
      </c>
      <c r="I926">
        <v>5</v>
      </c>
      <c r="J926" t="s">
        <v>49</v>
      </c>
      <c r="K926" t="s">
        <v>73</v>
      </c>
      <c r="L926" t="s">
        <v>213</v>
      </c>
      <c r="M926" t="s">
        <v>1022</v>
      </c>
      <c r="N926" t="b">
        <v>0</v>
      </c>
      <c r="O926" t="b">
        <v>0</v>
      </c>
    </row>
    <row r="927" spans="1:15">
      <c r="A927">
        <v>926</v>
      </c>
      <c r="B927" s="1">
        <v>45356.141053240739</v>
      </c>
      <c r="C927" s="2">
        <v>45356.899652523149</v>
      </c>
      <c r="D927" s="2">
        <v>45357.857581782409</v>
      </c>
      <c r="E927" t="s">
        <v>11</v>
      </c>
      <c r="F927" t="s">
        <v>4</v>
      </c>
      <c r="G927" t="s">
        <v>15</v>
      </c>
      <c r="H927">
        <v>8</v>
      </c>
      <c r="I927">
        <v>5</v>
      </c>
      <c r="J927" t="s">
        <v>49</v>
      </c>
      <c r="K927" t="s">
        <v>36</v>
      </c>
      <c r="L927" t="s">
        <v>106</v>
      </c>
      <c r="M927" t="s">
        <v>1023</v>
      </c>
      <c r="N927" t="b">
        <v>0</v>
      </c>
      <c r="O927" t="b">
        <v>0</v>
      </c>
    </row>
    <row r="928" spans="1:15">
      <c r="A928">
        <v>927</v>
      </c>
      <c r="B928" s="1">
        <v>45356.267476851855</v>
      </c>
      <c r="C928" s="2">
        <v>45356.629105995373</v>
      </c>
      <c r="D928" s="2">
        <v>45358.867135729168</v>
      </c>
      <c r="E928" t="s">
        <v>11</v>
      </c>
      <c r="F928" t="s">
        <v>4</v>
      </c>
      <c r="G928" t="s">
        <v>14</v>
      </c>
      <c r="H928">
        <v>2</v>
      </c>
      <c r="I928">
        <v>4</v>
      </c>
      <c r="J928" t="s">
        <v>49</v>
      </c>
      <c r="K928" t="s">
        <v>57</v>
      </c>
      <c r="L928" t="s">
        <v>102</v>
      </c>
      <c r="M928" t="s">
        <v>1024</v>
      </c>
      <c r="N928" t="b">
        <v>0</v>
      </c>
      <c r="O928" t="b">
        <v>0</v>
      </c>
    </row>
    <row r="929" spans="1:15">
      <c r="A929">
        <v>928</v>
      </c>
      <c r="B929" s="1">
        <v>45356.27648148148</v>
      </c>
      <c r="C929" s="2">
        <v>45356.577880486111</v>
      </c>
      <c r="E929" t="s">
        <v>10</v>
      </c>
      <c r="F929" t="s">
        <v>80</v>
      </c>
      <c r="G929" t="s">
        <v>17</v>
      </c>
      <c r="H929">
        <v>1</v>
      </c>
      <c r="I929">
        <v>5</v>
      </c>
      <c r="J929" t="s">
        <v>31</v>
      </c>
      <c r="K929" t="s">
        <v>71</v>
      </c>
      <c r="L929" t="s">
        <v>188</v>
      </c>
      <c r="M929" t="s">
        <v>1025</v>
      </c>
      <c r="N929" t="b">
        <v>0</v>
      </c>
      <c r="O929" t="b">
        <v>0</v>
      </c>
    </row>
    <row r="930" spans="1:15">
      <c r="A930">
        <v>929</v>
      </c>
      <c r="B930" s="1">
        <v>45356.42900462963</v>
      </c>
      <c r="C930" s="2">
        <v>45356.55391347222</v>
      </c>
      <c r="D930" s="2">
        <v>45356.623995671296</v>
      </c>
      <c r="E930" t="s">
        <v>9</v>
      </c>
      <c r="F930" t="s">
        <v>4</v>
      </c>
      <c r="G930" t="s">
        <v>16</v>
      </c>
      <c r="H930">
        <v>2</v>
      </c>
      <c r="I930">
        <v>5</v>
      </c>
      <c r="J930" t="s">
        <v>68</v>
      </c>
      <c r="K930" t="s">
        <v>57</v>
      </c>
      <c r="L930" t="s">
        <v>134</v>
      </c>
      <c r="M930" t="s">
        <v>1026</v>
      </c>
      <c r="N930" t="b">
        <v>0</v>
      </c>
      <c r="O930" t="b">
        <v>0</v>
      </c>
    </row>
    <row r="931" spans="1:15">
      <c r="A931">
        <v>930</v>
      </c>
      <c r="B931" s="1">
        <v>45356.489814814813</v>
      </c>
      <c r="C931" s="2">
        <v>45356.708193078703</v>
      </c>
      <c r="D931" s="2">
        <v>45357.170017870369</v>
      </c>
      <c r="E931" t="s">
        <v>10</v>
      </c>
      <c r="F931" t="s">
        <v>4</v>
      </c>
      <c r="G931" t="s">
        <v>14</v>
      </c>
      <c r="H931">
        <v>3</v>
      </c>
      <c r="I931">
        <v>7</v>
      </c>
      <c r="J931" t="s">
        <v>68</v>
      </c>
      <c r="K931" t="s">
        <v>46</v>
      </c>
      <c r="L931" t="s">
        <v>44</v>
      </c>
      <c r="M931" t="s">
        <v>1027</v>
      </c>
      <c r="N931" t="b">
        <v>0</v>
      </c>
      <c r="O931" t="b">
        <v>0</v>
      </c>
    </row>
    <row r="932" spans="1:15">
      <c r="A932">
        <v>931</v>
      </c>
      <c r="B932" s="1">
        <v>45356.495694444442</v>
      </c>
      <c r="C932" s="2">
        <v>45356.815615451385</v>
      </c>
      <c r="D932" s="2">
        <v>45357.425100856482</v>
      </c>
      <c r="E932" t="s">
        <v>10</v>
      </c>
      <c r="F932" t="s">
        <v>4</v>
      </c>
      <c r="G932" t="s">
        <v>17</v>
      </c>
      <c r="H932">
        <v>4</v>
      </c>
      <c r="I932">
        <v>10</v>
      </c>
      <c r="J932" t="s">
        <v>39</v>
      </c>
      <c r="K932" t="s">
        <v>40</v>
      </c>
      <c r="L932" t="s">
        <v>100</v>
      </c>
      <c r="M932" t="s">
        <v>1028</v>
      </c>
      <c r="N932" t="b">
        <v>1</v>
      </c>
      <c r="O932" t="b">
        <v>0</v>
      </c>
    </row>
    <row r="933" spans="1:15">
      <c r="A933">
        <v>932</v>
      </c>
      <c r="B933" s="1">
        <v>45356.495844907404</v>
      </c>
      <c r="C933" s="2">
        <v>45356.549057939817</v>
      </c>
      <c r="D933" s="2">
        <v>45356.810809652779</v>
      </c>
      <c r="E933" t="s">
        <v>9</v>
      </c>
      <c r="F933" t="s">
        <v>2</v>
      </c>
      <c r="G933" t="s">
        <v>16</v>
      </c>
      <c r="H933">
        <v>8</v>
      </c>
      <c r="I933">
        <v>7</v>
      </c>
      <c r="J933" t="s">
        <v>52</v>
      </c>
      <c r="K933" t="s">
        <v>36</v>
      </c>
      <c r="L933" t="s">
        <v>127</v>
      </c>
      <c r="M933" t="s">
        <v>1029</v>
      </c>
      <c r="N933" t="b">
        <v>1</v>
      </c>
      <c r="O933" t="b">
        <v>0</v>
      </c>
    </row>
    <row r="934" spans="1:15">
      <c r="A934">
        <v>933</v>
      </c>
      <c r="B934" s="1">
        <v>45356.504178240742</v>
      </c>
      <c r="C934" s="2">
        <v>45356.653827615744</v>
      </c>
      <c r="D934" s="2">
        <v>45359.336361145834</v>
      </c>
      <c r="E934" t="s">
        <v>11</v>
      </c>
      <c r="F934" t="s">
        <v>4</v>
      </c>
      <c r="G934" t="s">
        <v>15</v>
      </c>
      <c r="H934">
        <v>8</v>
      </c>
      <c r="I934">
        <v>10</v>
      </c>
      <c r="J934" t="s">
        <v>35</v>
      </c>
      <c r="K934" t="s">
        <v>36</v>
      </c>
      <c r="L934" t="s">
        <v>85</v>
      </c>
      <c r="M934" t="s">
        <v>1030</v>
      </c>
      <c r="N934" t="b">
        <v>1</v>
      </c>
      <c r="O934" t="b">
        <v>0</v>
      </c>
    </row>
    <row r="935" spans="1:15">
      <c r="A935">
        <v>934</v>
      </c>
      <c r="B935" s="1">
        <v>45356.51662037037</v>
      </c>
      <c r="C935" s="2">
        <v>45356.750387893517</v>
      </c>
      <c r="D935" s="2">
        <v>45357.371749675927</v>
      </c>
      <c r="E935" t="s">
        <v>10</v>
      </c>
      <c r="F935" t="s">
        <v>4</v>
      </c>
      <c r="G935" t="s">
        <v>14</v>
      </c>
      <c r="H935">
        <v>6</v>
      </c>
      <c r="I935">
        <v>9</v>
      </c>
      <c r="J935" t="s">
        <v>68</v>
      </c>
      <c r="K935" t="s">
        <v>73</v>
      </c>
      <c r="L935" t="s">
        <v>200</v>
      </c>
      <c r="M935" t="s">
        <v>1031</v>
      </c>
      <c r="N935" t="b">
        <v>0</v>
      </c>
      <c r="O935" t="b">
        <v>0</v>
      </c>
    </row>
    <row r="936" spans="1:15">
      <c r="A936">
        <v>935</v>
      </c>
      <c r="B936" s="1">
        <v>45356.543796296297</v>
      </c>
      <c r="C936" s="2">
        <v>45356.587015115743</v>
      </c>
      <c r="D936" s="2">
        <v>45356.67314402778</v>
      </c>
      <c r="E936" t="s">
        <v>8</v>
      </c>
      <c r="F936" t="s">
        <v>2</v>
      </c>
      <c r="G936" t="s">
        <v>14</v>
      </c>
      <c r="H936">
        <v>2</v>
      </c>
      <c r="I936">
        <v>8</v>
      </c>
      <c r="J936" t="s">
        <v>68</v>
      </c>
      <c r="K936" t="s">
        <v>57</v>
      </c>
      <c r="L936" t="s">
        <v>171</v>
      </c>
      <c r="M936" t="s">
        <v>1032</v>
      </c>
      <c r="N936" t="b">
        <v>1</v>
      </c>
      <c r="O936" t="b">
        <v>0</v>
      </c>
    </row>
    <row r="937" spans="1:15">
      <c r="A937">
        <v>936</v>
      </c>
      <c r="B937" s="1">
        <v>45356.75372685185</v>
      </c>
      <c r="C937" s="2">
        <v>45356.934691909722</v>
      </c>
      <c r="D937" s="2">
        <v>45357.82942115741</v>
      </c>
      <c r="E937" t="s">
        <v>11</v>
      </c>
      <c r="F937" t="s">
        <v>4</v>
      </c>
      <c r="G937" t="s">
        <v>17</v>
      </c>
      <c r="H937">
        <v>2</v>
      </c>
      <c r="I937">
        <v>3</v>
      </c>
      <c r="J937" t="s">
        <v>49</v>
      </c>
      <c r="K937" t="s">
        <v>57</v>
      </c>
      <c r="L937" t="s">
        <v>53</v>
      </c>
      <c r="M937" t="s">
        <v>1033</v>
      </c>
      <c r="N937" t="b">
        <v>0</v>
      </c>
      <c r="O937" t="b">
        <v>0</v>
      </c>
    </row>
    <row r="938" spans="1:15">
      <c r="A938">
        <v>937</v>
      </c>
      <c r="B938" s="1">
        <v>45356.826678240737</v>
      </c>
      <c r="C938" s="2">
        <v>45356.978495023148</v>
      </c>
      <c r="D938" s="2">
        <v>45357.576270983795</v>
      </c>
      <c r="E938" t="s">
        <v>10</v>
      </c>
      <c r="F938" t="s">
        <v>4</v>
      </c>
      <c r="G938" t="s">
        <v>17</v>
      </c>
      <c r="H938">
        <v>1</v>
      </c>
      <c r="I938">
        <v>6</v>
      </c>
      <c r="J938" t="s">
        <v>31</v>
      </c>
      <c r="K938" t="s">
        <v>71</v>
      </c>
      <c r="L938" t="s">
        <v>41</v>
      </c>
      <c r="M938" t="s">
        <v>1034</v>
      </c>
      <c r="N938" t="b">
        <v>0</v>
      </c>
      <c r="O938" t="b">
        <v>0</v>
      </c>
    </row>
    <row r="939" spans="1:15">
      <c r="A939">
        <v>938</v>
      </c>
      <c r="B939" s="1">
        <v>45356.897916666669</v>
      </c>
      <c r="C939" s="2">
        <v>45357.219255462966</v>
      </c>
      <c r="D939" s="2">
        <v>45357.947991643516</v>
      </c>
      <c r="E939" t="s">
        <v>11</v>
      </c>
      <c r="F939" t="s">
        <v>4</v>
      </c>
      <c r="G939" t="s">
        <v>15</v>
      </c>
      <c r="H939">
        <v>7</v>
      </c>
      <c r="I939">
        <v>2</v>
      </c>
      <c r="J939" t="s">
        <v>68</v>
      </c>
      <c r="K939" t="s">
        <v>43</v>
      </c>
      <c r="L939" t="s">
        <v>302</v>
      </c>
      <c r="M939" t="s">
        <v>1035</v>
      </c>
      <c r="N939" t="b">
        <v>0</v>
      </c>
      <c r="O939" t="b">
        <v>0</v>
      </c>
    </row>
    <row r="940" spans="1:15">
      <c r="A940">
        <v>939</v>
      </c>
      <c r="B940" s="1">
        <v>45356.914409722223</v>
      </c>
      <c r="C940" s="2">
        <v>45357.000724120371</v>
      </c>
      <c r="D940" s="2">
        <v>45357.192408182869</v>
      </c>
      <c r="E940" t="s">
        <v>9</v>
      </c>
      <c r="F940" t="s">
        <v>4</v>
      </c>
      <c r="G940" t="s">
        <v>14</v>
      </c>
      <c r="H940">
        <v>2</v>
      </c>
      <c r="I940">
        <v>10</v>
      </c>
      <c r="J940" t="s">
        <v>52</v>
      </c>
      <c r="K940" t="s">
        <v>57</v>
      </c>
      <c r="L940" t="s">
        <v>55</v>
      </c>
      <c r="M940" t="s">
        <v>1036</v>
      </c>
      <c r="N940" t="b">
        <v>0</v>
      </c>
      <c r="O940" t="b">
        <v>0</v>
      </c>
    </row>
    <row r="941" spans="1:15">
      <c r="A941">
        <v>940</v>
      </c>
      <c r="B941" s="1">
        <v>45357.268622685187</v>
      </c>
      <c r="C941" s="2">
        <v>45357.544493090281</v>
      </c>
      <c r="D941" s="2">
        <v>45357.932459780095</v>
      </c>
      <c r="E941" t="s">
        <v>10</v>
      </c>
      <c r="F941" t="s">
        <v>4</v>
      </c>
      <c r="G941" t="s">
        <v>17</v>
      </c>
      <c r="H941">
        <v>8</v>
      </c>
      <c r="I941">
        <v>2</v>
      </c>
      <c r="J941" t="s">
        <v>31</v>
      </c>
      <c r="K941" t="s">
        <v>36</v>
      </c>
      <c r="L941" t="s">
        <v>158</v>
      </c>
      <c r="M941" t="s">
        <v>1037</v>
      </c>
      <c r="N941" t="b">
        <v>0</v>
      </c>
      <c r="O941" t="b">
        <v>0</v>
      </c>
    </row>
    <row r="942" spans="1:15">
      <c r="A942">
        <v>941</v>
      </c>
      <c r="B942" s="1">
        <v>45357.295740740738</v>
      </c>
      <c r="C942" s="2">
        <v>45357.347467800922</v>
      </c>
      <c r="D942" s="2">
        <v>45357.675096192128</v>
      </c>
      <c r="E942" t="s">
        <v>10</v>
      </c>
      <c r="F942" t="s">
        <v>4</v>
      </c>
      <c r="G942" t="s">
        <v>14</v>
      </c>
      <c r="H942">
        <v>5</v>
      </c>
      <c r="I942">
        <v>3</v>
      </c>
      <c r="J942" t="s">
        <v>39</v>
      </c>
      <c r="K942" t="s">
        <v>32</v>
      </c>
      <c r="L942" t="s">
        <v>96</v>
      </c>
      <c r="M942" t="s">
        <v>1038</v>
      </c>
      <c r="N942" t="b">
        <v>0</v>
      </c>
      <c r="O942" t="b">
        <v>0</v>
      </c>
    </row>
    <row r="943" spans="1:15">
      <c r="A943">
        <v>942</v>
      </c>
      <c r="B943" s="1">
        <v>45357.368726851855</v>
      </c>
      <c r="C943" s="2">
        <v>45357.487208321756</v>
      </c>
      <c r="E943" t="s">
        <v>10</v>
      </c>
      <c r="F943" t="s">
        <v>80</v>
      </c>
      <c r="G943" t="s">
        <v>16</v>
      </c>
      <c r="H943">
        <v>4</v>
      </c>
      <c r="I943">
        <v>10</v>
      </c>
      <c r="J943" t="s">
        <v>68</v>
      </c>
      <c r="K943" t="s">
        <v>40</v>
      </c>
      <c r="L943" t="s">
        <v>136</v>
      </c>
      <c r="M943" t="s">
        <v>1039</v>
      </c>
      <c r="N943" t="b">
        <v>0</v>
      </c>
      <c r="O943" t="b">
        <v>0</v>
      </c>
    </row>
    <row r="944" spans="1:15">
      <c r="A944">
        <v>943</v>
      </c>
      <c r="B944" s="1">
        <v>45357.36959490741</v>
      </c>
      <c r="C944" s="2">
        <v>45357.773769259256</v>
      </c>
      <c r="D944" s="2">
        <v>45358.256622511573</v>
      </c>
      <c r="E944" t="s">
        <v>11</v>
      </c>
      <c r="F944" t="s">
        <v>2</v>
      </c>
      <c r="G944" t="s">
        <v>17</v>
      </c>
      <c r="H944">
        <v>8</v>
      </c>
      <c r="I944">
        <v>2</v>
      </c>
      <c r="J944" t="s">
        <v>35</v>
      </c>
      <c r="K944" t="s">
        <v>36</v>
      </c>
      <c r="L944" t="s">
        <v>58</v>
      </c>
      <c r="M944" t="s">
        <v>1040</v>
      </c>
      <c r="N944" t="b">
        <v>0</v>
      </c>
      <c r="O944" t="b">
        <v>0</v>
      </c>
    </row>
    <row r="945" spans="1:15">
      <c r="A945">
        <v>944</v>
      </c>
      <c r="B945" s="1">
        <v>45357.408877314818</v>
      </c>
      <c r="C945" s="2">
        <v>45357.68718090278</v>
      </c>
      <c r="E945" t="s">
        <v>10</v>
      </c>
      <c r="F945" t="s">
        <v>3</v>
      </c>
      <c r="G945" t="s">
        <v>16</v>
      </c>
      <c r="H945">
        <v>2</v>
      </c>
      <c r="I945">
        <v>6</v>
      </c>
      <c r="J945" t="s">
        <v>31</v>
      </c>
      <c r="K945" t="s">
        <v>57</v>
      </c>
      <c r="L945" t="s">
        <v>85</v>
      </c>
      <c r="M945" t="s">
        <v>1041</v>
      </c>
      <c r="N945" t="b">
        <v>0</v>
      </c>
      <c r="O945" t="b">
        <v>0</v>
      </c>
    </row>
    <row r="946" spans="1:15">
      <c r="A946">
        <v>945</v>
      </c>
      <c r="B946" s="1">
        <v>45357.415092592593</v>
      </c>
      <c r="C946" s="2">
        <v>45357.530551006945</v>
      </c>
      <c r="D946" s="2">
        <v>45357.943601087965</v>
      </c>
      <c r="E946" t="s">
        <v>10</v>
      </c>
      <c r="F946" t="s">
        <v>4</v>
      </c>
      <c r="G946" t="s">
        <v>15</v>
      </c>
      <c r="H946">
        <v>4</v>
      </c>
      <c r="I946">
        <v>6</v>
      </c>
      <c r="J946" t="s">
        <v>39</v>
      </c>
      <c r="K946" t="s">
        <v>40</v>
      </c>
      <c r="L946" t="s">
        <v>81</v>
      </c>
      <c r="M946" t="s">
        <v>1042</v>
      </c>
      <c r="N946" t="b">
        <v>0</v>
      </c>
      <c r="O946" t="b">
        <v>0</v>
      </c>
    </row>
    <row r="947" spans="1:15">
      <c r="A947">
        <v>946</v>
      </c>
      <c r="B947" s="1">
        <v>45357.444756944446</v>
      </c>
      <c r="C947" s="2">
        <v>45357.506286724536</v>
      </c>
      <c r="D947" s="2">
        <v>45357.495829594911</v>
      </c>
      <c r="E947" t="s">
        <v>8</v>
      </c>
      <c r="F947" t="s">
        <v>4</v>
      </c>
      <c r="G947" t="s">
        <v>15</v>
      </c>
      <c r="H947">
        <v>3</v>
      </c>
      <c r="I947">
        <v>3</v>
      </c>
      <c r="J947" t="s">
        <v>35</v>
      </c>
      <c r="K947" t="s">
        <v>46</v>
      </c>
      <c r="L947" t="s">
        <v>174</v>
      </c>
      <c r="M947" t="s">
        <v>1043</v>
      </c>
      <c r="N947" t="b">
        <v>1</v>
      </c>
      <c r="O947" t="b">
        <v>0</v>
      </c>
    </row>
    <row r="948" spans="1:15">
      <c r="A948">
        <v>947</v>
      </c>
      <c r="B948" s="1">
        <v>45357.598217592589</v>
      </c>
      <c r="C948" s="2">
        <v>45357.647730497687</v>
      </c>
      <c r="D948" s="2">
        <v>45357.985110486108</v>
      </c>
      <c r="E948" t="s">
        <v>10</v>
      </c>
      <c r="F948" t="s">
        <v>4</v>
      </c>
      <c r="G948" t="s">
        <v>15</v>
      </c>
      <c r="H948">
        <v>2</v>
      </c>
      <c r="I948">
        <v>4</v>
      </c>
      <c r="J948" t="s">
        <v>49</v>
      </c>
      <c r="K948" t="s">
        <v>57</v>
      </c>
      <c r="L948" t="s">
        <v>310</v>
      </c>
      <c r="M948" t="s">
        <v>1044</v>
      </c>
      <c r="N948" t="b">
        <v>0</v>
      </c>
      <c r="O948" t="b">
        <v>0</v>
      </c>
    </row>
    <row r="949" spans="1:15">
      <c r="A949">
        <v>948</v>
      </c>
      <c r="B949" s="1">
        <v>45357.635682870372</v>
      </c>
      <c r="C949" s="2">
        <v>45357.919084479166</v>
      </c>
      <c r="D949" s="2">
        <v>45357.95977184028</v>
      </c>
      <c r="E949" t="s">
        <v>10</v>
      </c>
      <c r="F949" t="s">
        <v>4</v>
      </c>
      <c r="G949" t="s">
        <v>15</v>
      </c>
      <c r="H949">
        <v>8</v>
      </c>
      <c r="I949">
        <v>8</v>
      </c>
      <c r="J949" t="s">
        <v>35</v>
      </c>
      <c r="K949" t="s">
        <v>36</v>
      </c>
      <c r="L949" t="s">
        <v>91</v>
      </c>
      <c r="M949" t="s">
        <v>1045</v>
      </c>
      <c r="N949" t="b">
        <v>0</v>
      </c>
      <c r="O949" t="b">
        <v>0</v>
      </c>
    </row>
    <row r="950" spans="1:15">
      <c r="A950">
        <v>949</v>
      </c>
      <c r="B950" s="1">
        <v>45357.640381944446</v>
      </c>
      <c r="C950" s="2">
        <v>45358.281959664353</v>
      </c>
      <c r="D950" s="2">
        <v>45358.629799444447</v>
      </c>
      <c r="E950" t="s">
        <v>11</v>
      </c>
      <c r="F950" t="s">
        <v>4</v>
      </c>
      <c r="G950" t="s">
        <v>17</v>
      </c>
      <c r="H950">
        <v>5</v>
      </c>
      <c r="I950">
        <v>8</v>
      </c>
      <c r="J950" t="s">
        <v>68</v>
      </c>
      <c r="K950" t="s">
        <v>32</v>
      </c>
      <c r="L950" t="s">
        <v>104</v>
      </c>
      <c r="M950" t="s">
        <v>1046</v>
      </c>
      <c r="N950" t="b">
        <v>0</v>
      </c>
      <c r="O950" t="b">
        <v>0</v>
      </c>
    </row>
    <row r="951" spans="1:15">
      <c r="A951">
        <v>950</v>
      </c>
      <c r="B951" s="1">
        <v>45357.713553240741</v>
      </c>
      <c r="C951" s="2">
        <v>45357.898266122684</v>
      </c>
      <c r="D951" s="2">
        <v>45358.286831840276</v>
      </c>
      <c r="E951" t="s">
        <v>10</v>
      </c>
      <c r="F951" t="s">
        <v>4</v>
      </c>
      <c r="G951" t="s">
        <v>15</v>
      </c>
      <c r="H951">
        <v>2</v>
      </c>
      <c r="I951">
        <v>6</v>
      </c>
      <c r="J951" t="s">
        <v>35</v>
      </c>
      <c r="K951" t="s">
        <v>57</v>
      </c>
      <c r="L951" t="s">
        <v>64</v>
      </c>
      <c r="M951" t="s">
        <v>1047</v>
      </c>
      <c r="N951" t="b">
        <v>0</v>
      </c>
      <c r="O951" t="b">
        <v>0</v>
      </c>
    </row>
    <row r="952" spans="1:15">
      <c r="A952">
        <v>951</v>
      </c>
      <c r="B952" s="1">
        <v>45357.830057870371</v>
      </c>
      <c r="C952" s="2">
        <v>45357.912484444445</v>
      </c>
      <c r="D952" s="2">
        <v>45358.295447141201</v>
      </c>
      <c r="E952" t="s">
        <v>10</v>
      </c>
      <c r="F952" t="s">
        <v>4</v>
      </c>
      <c r="G952" t="s">
        <v>14</v>
      </c>
      <c r="H952">
        <v>1</v>
      </c>
      <c r="I952">
        <v>6</v>
      </c>
      <c r="J952" t="s">
        <v>35</v>
      </c>
      <c r="K952" t="s">
        <v>71</v>
      </c>
      <c r="L952" t="s">
        <v>41</v>
      </c>
      <c r="M952" t="s">
        <v>1048</v>
      </c>
      <c r="N952" t="b">
        <v>0</v>
      </c>
      <c r="O952" t="b">
        <v>0</v>
      </c>
    </row>
    <row r="953" spans="1:15">
      <c r="A953">
        <v>952</v>
      </c>
      <c r="B953" s="1">
        <v>45357.872847222221</v>
      </c>
      <c r="C953" s="2">
        <v>45357.924441828705</v>
      </c>
      <c r="D953" s="2">
        <v>45358.56442052083</v>
      </c>
      <c r="E953" t="s">
        <v>10</v>
      </c>
      <c r="F953" t="s">
        <v>4</v>
      </c>
      <c r="G953" t="s">
        <v>16</v>
      </c>
      <c r="H953">
        <v>3</v>
      </c>
      <c r="I953">
        <v>4</v>
      </c>
      <c r="J953" t="s">
        <v>39</v>
      </c>
      <c r="K953" t="s">
        <v>46</v>
      </c>
      <c r="L953" t="s">
        <v>47</v>
      </c>
      <c r="M953" t="s">
        <v>1049</v>
      </c>
      <c r="N953" t="b">
        <v>0</v>
      </c>
      <c r="O953" t="b">
        <v>0</v>
      </c>
    </row>
    <row r="954" spans="1:15">
      <c r="A954">
        <v>953</v>
      </c>
      <c r="B954" s="1">
        <v>45357.896458333336</v>
      </c>
      <c r="C954" s="2">
        <v>45358.213478067133</v>
      </c>
      <c r="D954" s="2">
        <v>45358.782575150464</v>
      </c>
      <c r="E954" t="s">
        <v>10</v>
      </c>
      <c r="F954" t="s">
        <v>4</v>
      </c>
      <c r="G954" t="s">
        <v>14</v>
      </c>
      <c r="H954">
        <v>7</v>
      </c>
      <c r="I954">
        <v>7</v>
      </c>
      <c r="J954" t="s">
        <v>35</v>
      </c>
      <c r="K954" t="s">
        <v>43</v>
      </c>
      <c r="L954" t="s">
        <v>124</v>
      </c>
      <c r="M954" t="s">
        <v>1050</v>
      </c>
      <c r="N954" t="b">
        <v>0</v>
      </c>
      <c r="O954" t="b">
        <v>0</v>
      </c>
    </row>
    <row r="955" spans="1:15">
      <c r="A955">
        <v>954</v>
      </c>
      <c r="B955" s="1">
        <v>45358.05914351852</v>
      </c>
      <c r="C955" s="2">
        <v>45358.31400175926</v>
      </c>
      <c r="D955" s="2">
        <v>45358.885932442128</v>
      </c>
      <c r="E955" t="s">
        <v>10</v>
      </c>
      <c r="F955" t="s">
        <v>4</v>
      </c>
      <c r="G955" t="s">
        <v>17</v>
      </c>
      <c r="H955">
        <v>2</v>
      </c>
      <c r="I955">
        <v>1</v>
      </c>
      <c r="J955" t="s">
        <v>39</v>
      </c>
      <c r="K955" t="s">
        <v>57</v>
      </c>
      <c r="L955" t="s">
        <v>188</v>
      </c>
      <c r="M955" t="s">
        <v>1051</v>
      </c>
      <c r="N955" t="b">
        <v>0</v>
      </c>
      <c r="O955" t="b">
        <v>0</v>
      </c>
    </row>
    <row r="956" spans="1:15">
      <c r="A956">
        <v>955</v>
      </c>
      <c r="B956" s="1">
        <v>45358.115682870368</v>
      </c>
      <c r="C956" s="2">
        <v>45358.577059687501</v>
      </c>
      <c r="E956" t="s">
        <v>11</v>
      </c>
      <c r="F956" t="s">
        <v>3</v>
      </c>
      <c r="G956" t="s">
        <v>16</v>
      </c>
      <c r="H956">
        <v>6</v>
      </c>
      <c r="I956">
        <v>1</v>
      </c>
      <c r="J956" t="s">
        <v>68</v>
      </c>
      <c r="K956" t="s">
        <v>73</v>
      </c>
      <c r="L956" t="s">
        <v>62</v>
      </c>
      <c r="M956" t="s">
        <v>1052</v>
      </c>
      <c r="N956" t="b">
        <v>0</v>
      </c>
      <c r="O956" t="b">
        <v>0</v>
      </c>
    </row>
    <row r="957" spans="1:15">
      <c r="A957">
        <v>956</v>
      </c>
      <c r="B957" s="1">
        <v>45358.126585648148</v>
      </c>
      <c r="C957" s="2">
        <v>45358.870602013892</v>
      </c>
      <c r="D957" s="2">
        <v>45359.184723634258</v>
      </c>
      <c r="E957" t="s">
        <v>11</v>
      </c>
      <c r="F957" t="s">
        <v>4</v>
      </c>
      <c r="G957" t="s">
        <v>14</v>
      </c>
      <c r="H957">
        <v>1</v>
      </c>
      <c r="I957">
        <v>8</v>
      </c>
      <c r="J957" t="s">
        <v>31</v>
      </c>
      <c r="K957" t="s">
        <v>71</v>
      </c>
      <c r="L957" t="s">
        <v>200</v>
      </c>
      <c r="M957" t="s">
        <v>1053</v>
      </c>
      <c r="N957" t="b">
        <v>0</v>
      </c>
      <c r="O957" t="b">
        <v>0</v>
      </c>
    </row>
    <row r="958" spans="1:15">
      <c r="A958">
        <v>957</v>
      </c>
      <c r="B958" s="1">
        <v>45358.126585648148</v>
      </c>
      <c r="C958" s="2">
        <v>45358.353732210649</v>
      </c>
      <c r="D958" s="2">
        <v>45358.678435590278</v>
      </c>
      <c r="E958" t="s">
        <v>10</v>
      </c>
      <c r="F958" t="s">
        <v>4</v>
      </c>
      <c r="G958" t="s">
        <v>14</v>
      </c>
      <c r="H958">
        <v>3</v>
      </c>
      <c r="I958">
        <v>2</v>
      </c>
      <c r="J958" t="s">
        <v>39</v>
      </c>
      <c r="K958" t="s">
        <v>46</v>
      </c>
      <c r="L958" t="s">
        <v>62</v>
      </c>
      <c r="M958" t="s">
        <v>1054</v>
      </c>
      <c r="N958" t="b">
        <v>0</v>
      </c>
      <c r="O958" t="b">
        <v>0</v>
      </c>
    </row>
    <row r="959" spans="1:15">
      <c r="A959">
        <v>958</v>
      </c>
      <c r="B959" s="1">
        <v>45358.175659722219</v>
      </c>
      <c r="C959" s="2">
        <v>45358.47075429398</v>
      </c>
      <c r="D959" s="2">
        <v>45358.875302511573</v>
      </c>
      <c r="E959" t="s">
        <v>10</v>
      </c>
      <c r="F959" t="s">
        <v>4</v>
      </c>
      <c r="G959" t="s">
        <v>15</v>
      </c>
      <c r="H959">
        <v>5</v>
      </c>
      <c r="I959">
        <v>8</v>
      </c>
      <c r="J959" t="s">
        <v>35</v>
      </c>
      <c r="K959" t="s">
        <v>32</v>
      </c>
      <c r="L959" t="s">
        <v>302</v>
      </c>
      <c r="M959" t="s">
        <v>1055</v>
      </c>
      <c r="N959" t="b">
        <v>0</v>
      </c>
      <c r="O959" t="b">
        <v>0</v>
      </c>
    </row>
    <row r="960" spans="1:15">
      <c r="A960">
        <v>959</v>
      </c>
      <c r="B960" s="1">
        <v>45358.22084490741</v>
      </c>
      <c r="C960" s="2">
        <v>45358.278964155092</v>
      </c>
      <c r="D960" s="2">
        <v>45358.394092604169</v>
      </c>
      <c r="E960" t="s">
        <v>9</v>
      </c>
      <c r="F960" t="s">
        <v>4</v>
      </c>
      <c r="G960" t="s">
        <v>14</v>
      </c>
      <c r="H960">
        <v>2</v>
      </c>
      <c r="I960">
        <v>1</v>
      </c>
      <c r="J960" t="s">
        <v>49</v>
      </c>
      <c r="K960" t="s">
        <v>57</v>
      </c>
      <c r="L960" t="s">
        <v>47</v>
      </c>
      <c r="M960" t="s">
        <v>1056</v>
      </c>
      <c r="N960" t="b">
        <v>0</v>
      </c>
      <c r="O960" t="b">
        <v>0</v>
      </c>
    </row>
    <row r="961" spans="1:15">
      <c r="A961">
        <v>960</v>
      </c>
      <c r="B961" s="1">
        <v>45358.242418981485</v>
      </c>
      <c r="C961" s="2">
        <v>45358.806904942132</v>
      </c>
      <c r="D961" s="2">
        <v>45360.50053809028</v>
      </c>
      <c r="E961" t="s">
        <v>11</v>
      </c>
      <c r="F961" t="s">
        <v>4</v>
      </c>
      <c r="G961" t="s">
        <v>15</v>
      </c>
      <c r="H961">
        <v>4</v>
      </c>
      <c r="I961">
        <v>3</v>
      </c>
      <c r="J961" t="s">
        <v>49</v>
      </c>
      <c r="K961" t="s">
        <v>40</v>
      </c>
      <c r="L961" t="s">
        <v>253</v>
      </c>
      <c r="M961" t="s">
        <v>1057</v>
      </c>
      <c r="N961" t="b">
        <v>0</v>
      </c>
      <c r="O961" t="b">
        <v>0</v>
      </c>
    </row>
    <row r="962" spans="1:15">
      <c r="A962">
        <v>961</v>
      </c>
      <c r="B962" s="1">
        <v>45358.379652777781</v>
      </c>
      <c r="C962" s="2">
        <v>45358.699410416666</v>
      </c>
      <c r="D962" s="2">
        <v>45359.205430277776</v>
      </c>
      <c r="E962" t="s">
        <v>10</v>
      </c>
      <c r="F962" t="s">
        <v>4</v>
      </c>
      <c r="G962" t="s">
        <v>15</v>
      </c>
      <c r="H962">
        <v>3</v>
      </c>
      <c r="I962">
        <v>10</v>
      </c>
      <c r="J962" t="s">
        <v>52</v>
      </c>
      <c r="K962" t="s">
        <v>46</v>
      </c>
      <c r="L962" t="s">
        <v>91</v>
      </c>
      <c r="M962" t="s">
        <v>1058</v>
      </c>
      <c r="N962" t="b">
        <v>0</v>
      </c>
      <c r="O962" t="b">
        <v>0</v>
      </c>
    </row>
    <row r="963" spans="1:15">
      <c r="A963">
        <v>962</v>
      </c>
      <c r="B963" s="1">
        <v>45358.687037037038</v>
      </c>
      <c r="C963" s="2">
        <v>45358.869764178242</v>
      </c>
      <c r="D963" s="2">
        <v>45359.37063099537</v>
      </c>
      <c r="E963" t="s">
        <v>10</v>
      </c>
      <c r="F963" t="s">
        <v>4</v>
      </c>
      <c r="G963" t="s">
        <v>15</v>
      </c>
      <c r="H963">
        <v>1</v>
      </c>
      <c r="I963">
        <v>3</v>
      </c>
      <c r="J963" t="s">
        <v>39</v>
      </c>
      <c r="K963" t="s">
        <v>71</v>
      </c>
      <c r="L963" t="s">
        <v>44</v>
      </c>
      <c r="M963" t="s">
        <v>1059</v>
      </c>
      <c r="N963" t="b">
        <v>0</v>
      </c>
      <c r="O963" t="b">
        <v>0</v>
      </c>
    </row>
    <row r="964" spans="1:15">
      <c r="A964">
        <v>963</v>
      </c>
      <c r="B964" s="1">
        <v>45358.689039351855</v>
      </c>
      <c r="C964" s="2">
        <v>45358.89172861111</v>
      </c>
      <c r="D964" s="2">
        <v>45360.077149398145</v>
      </c>
      <c r="E964" t="s">
        <v>11</v>
      </c>
      <c r="F964" t="s">
        <v>4</v>
      </c>
      <c r="G964" t="s">
        <v>14</v>
      </c>
      <c r="H964">
        <v>1</v>
      </c>
      <c r="I964">
        <v>10</v>
      </c>
      <c r="J964" t="s">
        <v>31</v>
      </c>
      <c r="K964" t="s">
        <v>71</v>
      </c>
      <c r="L964" t="s">
        <v>100</v>
      </c>
      <c r="M964" t="s">
        <v>1060</v>
      </c>
      <c r="N964" t="b">
        <v>0</v>
      </c>
      <c r="O964" t="b">
        <v>0</v>
      </c>
    </row>
    <row r="965" spans="1:15">
      <c r="A965">
        <v>964</v>
      </c>
      <c r="B965" s="1">
        <v>45358.771840277775</v>
      </c>
      <c r="C965" s="2">
        <v>45358.914740185188</v>
      </c>
      <c r="D965" s="2">
        <v>45359.661738634262</v>
      </c>
      <c r="E965" t="s">
        <v>10</v>
      </c>
      <c r="F965" t="s">
        <v>4</v>
      </c>
      <c r="G965" t="s">
        <v>15</v>
      </c>
      <c r="H965">
        <v>2</v>
      </c>
      <c r="I965">
        <v>3</v>
      </c>
      <c r="J965" t="s">
        <v>35</v>
      </c>
      <c r="K965" t="s">
        <v>57</v>
      </c>
      <c r="L965" t="s">
        <v>121</v>
      </c>
      <c r="M965" t="s">
        <v>1061</v>
      </c>
      <c r="N965" t="b">
        <v>0</v>
      </c>
      <c r="O965" t="b">
        <v>0</v>
      </c>
    </row>
    <row r="966" spans="1:15">
      <c r="A966">
        <v>965</v>
      </c>
      <c r="B966" s="1">
        <v>45358.818298611113</v>
      </c>
      <c r="C966" s="2">
        <v>45359.581862766201</v>
      </c>
      <c r="D966" s="2">
        <v>45359.948445162037</v>
      </c>
      <c r="E966" t="s">
        <v>11</v>
      </c>
      <c r="F966" t="s">
        <v>4</v>
      </c>
      <c r="G966" t="s">
        <v>17</v>
      </c>
      <c r="H966">
        <v>6</v>
      </c>
      <c r="I966">
        <v>7</v>
      </c>
      <c r="J966" t="s">
        <v>52</v>
      </c>
      <c r="K966" t="s">
        <v>73</v>
      </c>
      <c r="L966" t="s">
        <v>104</v>
      </c>
      <c r="M966" t="s">
        <v>1062</v>
      </c>
      <c r="N966" t="b">
        <v>0</v>
      </c>
      <c r="O966" t="b">
        <v>0</v>
      </c>
    </row>
    <row r="967" spans="1:15">
      <c r="A967">
        <v>966</v>
      </c>
      <c r="B967" s="1">
        <v>45358.931817129633</v>
      </c>
      <c r="C967" s="2">
        <v>45359.222237696762</v>
      </c>
      <c r="E967" t="s">
        <v>10</v>
      </c>
      <c r="F967" t="s">
        <v>3</v>
      </c>
      <c r="G967" t="s">
        <v>17</v>
      </c>
      <c r="H967">
        <v>1</v>
      </c>
      <c r="I967">
        <v>7</v>
      </c>
      <c r="J967" t="s">
        <v>68</v>
      </c>
      <c r="K967" t="s">
        <v>71</v>
      </c>
      <c r="L967" t="s">
        <v>136</v>
      </c>
      <c r="M967" t="s">
        <v>1063</v>
      </c>
      <c r="N967" t="b">
        <v>0</v>
      </c>
      <c r="O967" t="b">
        <v>0</v>
      </c>
    </row>
    <row r="968" spans="1:15">
      <c r="A968">
        <v>967</v>
      </c>
      <c r="B968" s="1">
        <v>45358.934374999997</v>
      </c>
      <c r="C968" s="2">
        <v>45359.252906666668</v>
      </c>
      <c r="D968" s="2">
        <v>45359.634194710648</v>
      </c>
      <c r="E968" t="s">
        <v>10</v>
      </c>
      <c r="F968" t="s">
        <v>4</v>
      </c>
      <c r="G968" t="s">
        <v>15</v>
      </c>
      <c r="H968">
        <v>5</v>
      </c>
      <c r="I968">
        <v>7</v>
      </c>
      <c r="J968" t="s">
        <v>68</v>
      </c>
      <c r="K968" t="s">
        <v>32</v>
      </c>
      <c r="L968" t="s">
        <v>276</v>
      </c>
      <c r="M968" t="s">
        <v>1064</v>
      </c>
      <c r="N968" t="b">
        <v>0</v>
      </c>
      <c r="O968" t="b">
        <v>0</v>
      </c>
    </row>
    <row r="969" spans="1:15">
      <c r="A969">
        <v>968</v>
      </c>
      <c r="B969" s="1">
        <v>45358.936759259261</v>
      </c>
      <c r="C969" s="2">
        <v>45358.962257141204</v>
      </c>
      <c r="D969" s="2">
        <v>45359.239486030092</v>
      </c>
      <c r="E969" t="s">
        <v>9</v>
      </c>
      <c r="F969" t="s">
        <v>4</v>
      </c>
      <c r="G969" t="s">
        <v>15</v>
      </c>
      <c r="H969">
        <v>1</v>
      </c>
      <c r="I969">
        <v>3</v>
      </c>
      <c r="J969" t="s">
        <v>49</v>
      </c>
      <c r="K969" t="s">
        <v>71</v>
      </c>
      <c r="L969" t="s">
        <v>136</v>
      </c>
      <c r="M969" t="s">
        <v>1065</v>
      </c>
      <c r="N969" t="b">
        <v>1</v>
      </c>
      <c r="O969" t="b">
        <v>0</v>
      </c>
    </row>
    <row r="970" spans="1:15">
      <c r="A970">
        <v>969</v>
      </c>
      <c r="B970" s="1">
        <v>45359.109548611108</v>
      </c>
      <c r="C970" s="2">
        <v>45359.340604733799</v>
      </c>
      <c r="D970" s="2">
        <v>45359.819241701392</v>
      </c>
      <c r="E970" t="s">
        <v>10</v>
      </c>
      <c r="F970" t="s">
        <v>4</v>
      </c>
      <c r="G970" t="s">
        <v>14</v>
      </c>
      <c r="H970">
        <v>2</v>
      </c>
      <c r="I970">
        <v>8</v>
      </c>
      <c r="J970" t="s">
        <v>35</v>
      </c>
      <c r="K970" t="s">
        <v>57</v>
      </c>
      <c r="L970" t="s">
        <v>164</v>
      </c>
      <c r="M970" t="s">
        <v>1066</v>
      </c>
      <c r="N970" t="b">
        <v>0</v>
      </c>
      <c r="O970" t="b">
        <v>0</v>
      </c>
    </row>
    <row r="971" spans="1:15">
      <c r="A971">
        <v>970</v>
      </c>
      <c r="B971" s="1">
        <v>45359.139953703707</v>
      </c>
      <c r="C971" s="2">
        <v>45359.388062916667</v>
      </c>
      <c r="D971" s="2">
        <v>45359.798070810182</v>
      </c>
      <c r="E971" t="s">
        <v>10</v>
      </c>
      <c r="F971" t="s">
        <v>4</v>
      </c>
      <c r="G971" t="s">
        <v>16</v>
      </c>
      <c r="H971">
        <v>2</v>
      </c>
      <c r="I971">
        <v>4</v>
      </c>
      <c r="J971" t="s">
        <v>68</v>
      </c>
      <c r="K971" t="s">
        <v>57</v>
      </c>
      <c r="L971" t="s">
        <v>62</v>
      </c>
      <c r="M971" t="s">
        <v>1067</v>
      </c>
      <c r="N971" t="b">
        <v>0</v>
      </c>
      <c r="O971" t="b">
        <v>0</v>
      </c>
    </row>
    <row r="972" spans="1:15">
      <c r="A972">
        <v>971</v>
      </c>
      <c r="B972" s="1">
        <v>45359.278321759259</v>
      </c>
      <c r="C972" s="2">
        <v>45359.504236261571</v>
      </c>
      <c r="E972" t="s">
        <v>11</v>
      </c>
      <c r="F972" t="s">
        <v>3</v>
      </c>
      <c r="G972" t="s">
        <v>14</v>
      </c>
      <c r="H972">
        <v>3</v>
      </c>
      <c r="I972">
        <v>9</v>
      </c>
      <c r="J972" t="s">
        <v>39</v>
      </c>
      <c r="K972" t="s">
        <v>46</v>
      </c>
      <c r="L972" t="s">
        <v>121</v>
      </c>
      <c r="M972" t="s">
        <v>1068</v>
      </c>
      <c r="N972" t="b">
        <v>1</v>
      </c>
      <c r="O972" t="b">
        <v>0</v>
      </c>
    </row>
    <row r="973" spans="1:15">
      <c r="A973">
        <v>972</v>
      </c>
      <c r="B973" s="1">
        <v>45359.290335648147</v>
      </c>
      <c r="C973" s="2">
        <v>45359.819015231478</v>
      </c>
      <c r="D973" s="2">
        <v>45361.948673206018</v>
      </c>
      <c r="E973" t="s">
        <v>11</v>
      </c>
      <c r="F973" t="s">
        <v>4</v>
      </c>
      <c r="G973" t="s">
        <v>14</v>
      </c>
      <c r="H973">
        <v>6</v>
      </c>
      <c r="I973">
        <v>4</v>
      </c>
      <c r="J973" t="s">
        <v>68</v>
      </c>
      <c r="K973" t="s">
        <v>73</v>
      </c>
      <c r="L973" t="s">
        <v>47</v>
      </c>
      <c r="M973" t="s">
        <v>1069</v>
      </c>
      <c r="N973" t="b">
        <v>0</v>
      </c>
      <c r="O973" t="b">
        <v>0</v>
      </c>
    </row>
    <row r="974" spans="1:15">
      <c r="A974">
        <v>973</v>
      </c>
      <c r="B974" s="1">
        <v>45359.5781712963</v>
      </c>
      <c r="C974" s="2">
        <v>45359.859477534723</v>
      </c>
      <c r="E974" t="s">
        <v>10</v>
      </c>
      <c r="F974" t="s">
        <v>3</v>
      </c>
      <c r="G974" t="s">
        <v>15</v>
      </c>
      <c r="H974">
        <v>4</v>
      </c>
      <c r="I974">
        <v>9</v>
      </c>
      <c r="J974" t="s">
        <v>31</v>
      </c>
      <c r="K974" t="s">
        <v>40</v>
      </c>
      <c r="L974" t="s">
        <v>96</v>
      </c>
      <c r="M974" t="s">
        <v>1070</v>
      </c>
      <c r="N974" t="b">
        <v>0</v>
      </c>
      <c r="O974" t="b">
        <v>0</v>
      </c>
    </row>
    <row r="975" spans="1:15">
      <c r="A975">
        <v>974</v>
      </c>
      <c r="B975" s="1">
        <v>45359.585717592592</v>
      </c>
      <c r="C975" s="2">
        <v>45359.841435428243</v>
      </c>
      <c r="D975" s="2">
        <v>45360.168845590277</v>
      </c>
      <c r="E975" t="s">
        <v>10</v>
      </c>
      <c r="F975" t="s">
        <v>4</v>
      </c>
      <c r="G975" t="s">
        <v>15</v>
      </c>
      <c r="H975">
        <v>1</v>
      </c>
      <c r="I975">
        <v>10</v>
      </c>
      <c r="J975" t="s">
        <v>52</v>
      </c>
      <c r="K975" t="s">
        <v>71</v>
      </c>
      <c r="L975" t="s">
        <v>213</v>
      </c>
      <c r="M975" t="s">
        <v>1071</v>
      </c>
      <c r="N975" t="b">
        <v>0</v>
      </c>
      <c r="O975" t="b">
        <v>0</v>
      </c>
    </row>
    <row r="976" spans="1:15">
      <c r="A976">
        <v>975</v>
      </c>
      <c r="B976" s="1">
        <v>45359.592870370368</v>
      </c>
      <c r="C976" s="2">
        <v>45359.74598925926</v>
      </c>
      <c r="D976" s="2">
        <v>45360.226790196757</v>
      </c>
      <c r="E976" t="s">
        <v>10</v>
      </c>
      <c r="F976" t="s">
        <v>4</v>
      </c>
      <c r="G976" t="s">
        <v>17</v>
      </c>
      <c r="H976">
        <v>2</v>
      </c>
      <c r="I976">
        <v>8</v>
      </c>
      <c r="J976" t="s">
        <v>52</v>
      </c>
      <c r="K976" t="s">
        <v>57</v>
      </c>
      <c r="L976" t="s">
        <v>124</v>
      </c>
      <c r="M976" t="s">
        <v>1072</v>
      </c>
      <c r="N976" t="b">
        <v>0</v>
      </c>
      <c r="O976" t="b">
        <v>0</v>
      </c>
    </row>
    <row r="977" spans="1:15">
      <c r="A977">
        <v>976</v>
      </c>
      <c r="B977" s="1">
        <v>45359.673391203702</v>
      </c>
      <c r="C977" s="2">
        <v>45359.754046932867</v>
      </c>
      <c r="D977" s="2">
        <v>45359.954102187497</v>
      </c>
      <c r="E977" t="s">
        <v>10</v>
      </c>
      <c r="F977" t="s">
        <v>4</v>
      </c>
      <c r="G977" t="s">
        <v>16</v>
      </c>
      <c r="H977">
        <v>3</v>
      </c>
      <c r="I977">
        <v>5</v>
      </c>
      <c r="J977" t="s">
        <v>49</v>
      </c>
      <c r="K977" t="s">
        <v>46</v>
      </c>
      <c r="L977" t="s">
        <v>250</v>
      </c>
      <c r="M977" t="s">
        <v>1073</v>
      </c>
      <c r="N977" t="b">
        <v>0</v>
      </c>
      <c r="O977" t="b">
        <v>0</v>
      </c>
    </row>
    <row r="978" spans="1:15">
      <c r="A978">
        <v>977</v>
      </c>
      <c r="B978" s="1">
        <v>45359.697685185187</v>
      </c>
      <c r="C978" s="2">
        <v>45360.349642835645</v>
      </c>
      <c r="D978" s="2">
        <v>45360.899980092596</v>
      </c>
      <c r="E978" t="s">
        <v>11</v>
      </c>
      <c r="F978" t="s">
        <v>4</v>
      </c>
      <c r="G978" t="s">
        <v>15</v>
      </c>
      <c r="H978">
        <v>3</v>
      </c>
      <c r="I978">
        <v>5</v>
      </c>
      <c r="J978" t="s">
        <v>52</v>
      </c>
      <c r="K978" t="s">
        <v>46</v>
      </c>
      <c r="L978" t="s">
        <v>174</v>
      </c>
      <c r="M978" t="s">
        <v>1074</v>
      </c>
      <c r="N978" t="b">
        <v>0</v>
      </c>
      <c r="O978" t="b">
        <v>0</v>
      </c>
    </row>
    <row r="979" spans="1:15">
      <c r="A979">
        <v>978</v>
      </c>
      <c r="B979" s="1">
        <v>45359.773368055554</v>
      </c>
      <c r="C979" s="2">
        <v>45359.826570219906</v>
      </c>
      <c r="D979" s="2">
        <v>45359.92406341435</v>
      </c>
      <c r="E979" t="s">
        <v>9</v>
      </c>
      <c r="F979" t="s">
        <v>2</v>
      </c>
      <c r="G979" t="s">
        <v>15</v>
      </c>
      <c r="H979">
        <v>5</v>
      </c>
      <c r="I979">
        <v>4</v>
      </c>
      <c r="J979" t="s">
        <v>68</v>
      </c>
      <c r="K979" t="s">
        <v>32</v>
      </c>
      <c r="L979" t="s">
        <v>179</v>
      </c>
      <c r="M979" t="s">
        <v>1075</v>
      </c>
      <c r="N979" t="b">
        <v>0</v>
      </c>
      <c r="O979" t="b">
        <v>0</v>
      </c>
    </row>
    <row r="980" spans="1:15">
      <c r="A980">
        <v>979</v>
      </c>
      <c r="B980" s="1">
        <v>45359.911134259259</v>
      </c>
      <c r="C980" s="2">
        <v>45360.520791122683</v>
      </c>
      <c r="D980" s="2">
        <v>45362.058017627314</v>
      </c>
      <c r="E980" t="s">
        <v>11</v>
      </c>
      <c r="F980" t="s">
        <v>4</v>
      </c>
      <c r="G980" t="s">
        <v>14</v>
      </c>
      <c r="H980">
        <v>3</v>
      </c>
      <c r="I980">
        <v>4</v>
      </c>
      <c r="J980" t="s">
        <v>52</v>
      </c>
      <c r="K980" t="s">
        <v>46</v>
      </c>
      <c r="L980" t="s">
        <v>284</v>
      </c>
      <c r="M980" t="s">
        <v>1076</v>
      </c>
      <c r="N980" t="b">
        <v>0</v>
      </c>
      <c r="O980" t="b">
        <v>0</v>
      </c>
    </row>
    <row r="981" spans="1:15">
      <c r="A981">
        <v>980</v>
      </c>
      <c r="B981" s="1">
        <v>45360.081261574072</v>
      </c>
      <c r="C981" s="2">
        <v>45360.184088298614</v>
      </c>
      <c r="E981" t="s">
        <v>9</v>
      </c>
      <c r="F981" t="s">
        <v>80</v>
      </c>
      <c r="G981" t="s">
        <v>17</v>
      </c>
      <c r="H981">
        <v>6</v>
      </c>
      <c r="I981">
        <v>5</v>
      </c>
      <c r="J981" t="s">
        <v>35</v>
      </c>
      <c r="K981" t="s">
        <v>73</v>
      </c>
      <c r="L981" t="s">
        <v>60</v>
      </c>
      <c r="M981" t="s">
        <v>1077</v>
      </c>
      <c r="N981" t="b">
        <v>0</v>
      </c>
      <c r="O981" t="b">
        <v>0</v>
      </c>
    </row>
    <row r="982" spans="1:15">
      <c r="A982">
        <v>981</v>
      </c>
      <c r="B982" s="1">
        <v>45360.091412037036</v>
      </c>
      <c r="C982" s="2">
        <v>45360.161638819445</v>
      </c>
      <c r="D982" s="2">
        <v>45360.987975717595</v>
      </c>
      <c r="E982" t="s">
        <v>10</v>
      </c>
      <c r="F982" t="s">
        <v>4</v>
      </c>
      <c r="G982" t="s">
        <v>17</v>
      </c>
      <c r="H982">
        <v>3</v>
      </c>
      <c r="I982">
        <v>5</v>
      </c>
      <c r="J982" t="s">
        <v>35</v>
      </c>
      <c r="K982" t="s">
        <v>46</v>
      </c>
      <c r="L982" t="s">
        <v>136</v>
      </c>
      <c r="M982" t="s">
        <v>1078</v>
      </c>
      <c r="N982" t="b">
        <v>0</v>
      </c>
      <c r="O982" t="b">
        <v>0</v>
      </c>
    </row>
    <row r="983" spans="1:15">
      <c r="A983">
        <v>982</v>
      </c>
      <c r="B983" s="1">
        <v>45360.122754629629</v>
      </c>
      <c r="C983" s="2">
        <v>45360.744911886577</v>
      </c>
      <c r="D983" s="2">
        <v>45362.355139594911</v>
      </c>
      <c r="E983" t="s">
        <v>11</v>
      </c>
      <c r="F983" t="s">
        <v>4</v>
      </c>
      <c r="G983" t="s">
        <v>14</v>
      </c>
      <c r="H983">
        <v>6</v>
      </c>
      <c r="I983">
        <v>8</v>
      </c>
      <c r="J983" t="s">
        <v>39</v>
      </c>
      <c r="K983" t="s">
        <v>73</v>
      </c>
      <c r="L983" t="s">
        <v>100</v>
      </c>
      <c r="M983" t="s">
        <v>1079</v>
      </c>
      <c r="N983" t="b">
        <v>0</v>
      </c>
      <c r="O983" t="b">
        <v>0</v>
      </c>
    </row>
    <row r="984" spans="1:15">
      <c r="A984">
        <v>983</v>
      </c>
      <c r="B984" s="1">
        <v>45360.123460648145</v>
      </c>
      <c r="C984" s="2">
        <v>45360.228385219911</v>
      </c>
      <c r="E984" t="s">
        <v>9</v>
      </c>
      <c r="F984" t="s">
        <v>80</v>
      </c>
      <c r="G984" t="s">
        <v>17</v>
      </c>
      <c r="H984">
        <v>1</v>
      </c>
      <c r="I984">
        <v>9</v>
      </c>
      <c r="J984" t="s">
        <v>31</v>
      </c>
      <c r="K984" t="s">
        <v>71</v>
      </c>
      <c r="L984" t="s">
        <v>310</v>
      </c>
      <c r="M984" t="s">
        <v>1080</v>
      </c>
      <c r="N984" t="b">
        <v>0</v>
      </c>
      <c r="O984" t="b">
        <v>0</v>
      </c>
    </row>
    <row r="985" spans="1:15">
      <c r="A985">
        <v>984</v>
      </c>
      <c r="B985" s="1">
        <v>45360.158379629633</v>
      </c>
      <c r="C985" s="2">
        <v>45360.485158761578</v>
      </c>
      <c r="D985" s="2">
        <v>45360.808942650459</v>
      </c>
      <c r="E985" t="s">
        <v>10</v>
      </c>
      <c r="F985" t="s">
        <v>4</v>
      </c>
      <c r="G985" t="s">
        <v>16</v>
      </c>
      <c r="H985">
        <v>8</v>
      </c>
      <c r="I985">
        <v>9</v>
      </c>
      <c r="J985" t="s">
        <v>52</v>
      </c>
      <c r="K985" t="s">
        <v>36</v>
      </c>
      <c r="L985" t="s">
        <v>110</v>
      </c>
      <c r="M985" t="s">
        <v>1081</v>
      </c>
      <c r="N985" t="b">
        <v>0</v>
      </c>
      <c r="O985" t="b">
        <v>0</v>
      </c>
    </row>
    <row r="986" spans="1:15">
      <c r="A986">
        <v>985</v>
      </c>
      <c r="B986" s="1">
        <v>45360.179039351853</v>
      </c>
      <c r="C986" s="2">
        <v>45360.226600393522</v>
      </c>
      <c r="D986" s="2">
        <v>45360.340696412037</v>
      </c>
      <c r="E986" t="s">
        <v>9</v>
      </c>
      <c r="F986" t="s">
        <v>4</v>
      </c>
      <c r="G986" t="s">
        <v>15</v>
      </c>
      <c r="H986">
        <v>8</v>
      </c>
      <c r="I986">
        <v>7</v>
      </c>
      <c r="J986" t="s">
        <v>68</v>
      </c>
      <c r="K986" t="s">
        <v>36</v>
      </c>
      <c r="L986" t="s">
        <v>127</v>
      </c>
      <c r="M986" t="s">
        <v>1082</v>
      </c>
      <c r="N986" t="b">
        <v>0</v>
      </c>
      <c r="O986" t="b">
        <v>0</v>
      </c>
    </row>
    <row r="987" spans="1:15">
      <c r="A987">
        <v>986</v>
      </c>
      <c r="B987" s="1">
        <v>45360.186597222222</v>
      </c>
      <c r="C987" s="2">
        <v>45360.529915624997</v>
      </c>
      <c r="D987" s="2">
        <v>45362.335084710649</v>
      </c>
      <c r="E987" t="s">
        <v>11</v>
      </c>
      <c r="F987" t="s">
        <v>2</v>
      </c>
      <c r="G987" t="s">
        <v>17</v>
      </c>
      <c r="H987">
        <v>3</v>
      </c>
      <c r="I987">
        <v>10</v>
      </c>
      <c r="J987" t="s">
        <v>52</v>
      </c>
      <c r="K987" t="s">
        <v>46</v>
      </c>
      <c r="L987" t="s">
        <v>131</v>
      </c>
      <c r="M987" t="s">
        <v>1083</v>
      </c>
      <c r="N987" t="b">
        <v>0</v>
      </c>
      <c r="O987" t="b">
        <v>0</v>
      </c>
    </row>
    <row r="988" spans="1:15">
      <c r="A988">
        <v>987</v>
      </c>
      <c r="B988" s="1">
        <v>45360.240277777775</v>
      </c>
      <c r="C988" s="2">
        <v>45360.345727465276</v>
      </c>
      <c r="D988" s="2">
        <v>45360.734225266206</v>
      </c>
      <c r="E988" t="s">
        <v>10</v>
      </c>
      <c r="F988" t="s">
        <v>4</v>
      </c>
      <c r="G988" t="s">
        <v>15</v>
      </c>
      <c r="H988">
        <v>2</v>
      </c>
      <c r="I988">
        <v>9</v>
      </c>
      <c r="J988" t="s">
        <v>31</v>
      </c>
      <c r="K988" t="s">
        <v>57</v>
      </c>
      <c r="L988" t="s">
        <v>69</v>
      </c>
      <c r="M988" t="s">
        <v>1084</v>
      </c>
      <c r="N988" t="b">
        <v>0</v>
      </c>
      <c r="O988" t="b">
        <v>0</v>
      </c>
    </row>
    <row r="989" spans="1:15">
      <c r="A989">
        <v>988</v>
      </c>
      <c r="B989" s="1">
        <v>45360.319189814814</v>
      </c>
      <c r="C989" s="2">
        <v>45360.361264675928</v>
      </c>
      <c r="D989" s="2">
        <v>45360.510886759257</v>
      </c>
      <c r="E989" t="s">
        <v>9</v>
      </c>
      <c r="F989" t="s">
        <v>4</v>
      </c>
      <c r="G989" t="s">
        <v>15</v>
      </c>
      <c r="H989">
        <v>1</v>
      </c>
      <c r="I989">
        <v>5</v>
      </c>
      <c r="J989" t="s">
        <v>49</v>
      </c>
      <c r="K989" t="s">
        <v>71</v>
      </c>
      <c r="L989" t="s">
        <v>174</v>
      </c>
      <c r="M989" t="s">
        <v>1085</v>
      </c>
      <c r="N989" t="b">
        <v>0</v>
      </c>
      <c r="O989" t="b">
        <v>0</v>
      </c>
    </row>
    <row r="990" spans="1:15">
      <c r="A990">
        <v>989</v>
      </c>
      <c r="B990" s="1">
        <v>45360.376192129632</v>
      </c>
      <c r="C990" s="2">
        <v>45360.579906250001</v>
      </c>
      <c r="D990" s="2">
        <v>45360.875479733797</v>
      </c>
      <c r="E990" t="s">
        <v>10</v>
      </c>
      <c r="F990" t="s">
        <v>4</v>
      </c>
      <c r="G990" t="s">
        <v>15</v>
      </c>
      <c r="H990">
        <v>8</v>
      </c>
      <c r="I990">
        <v>5</v>
      </c>
      <c r="J990" t="s">
        <v>39</v>
      </c>
      <c r="K990" t="s">
        <v>36</v>
      </c>
      <c r="L990" t="s">
        <v>213</v>
      </c>
      <c r="M990" t="s">
        <v>1086</v>
      </c>
      <c r="N990" t="b">
        <v>0</v>
      </c>
      <c r="O990" t="b">
        <v>0</v>
      </c>
    </row>
    <row r="991" spans="1:15">
      <c r="A991">
        <v>990</v>
      </c>
      <c r="B991" s="1">
        <v>45360.520196759258</v>
      </c>
      <c r="C991" s="2">
        <v>45360.608708240739</v>
      </c>
      <c r="E991" t="s">
        <v>10</v>
      </c>
      <c r="F991" t="s">
        <v>80</v>
      </c>
      <c r="G991" t="s">
        <v>15</v>
      </c>
      <c r="H991">
        <v>1</v>
      </c>
      <c r="I991">
        <v>5</v>
      </c>
      <c r="J991" t="s">
        <v>39</v>
      </c>
      <c r="K991" t="s">
        <v>71</v>
      </c>
      <c r="L991" t="s">
        <v>78</v>
      </c>
      <c r="M991" t="s">
        <v>1087</v>
      </c>
      <c r="N991" t="b">
        <v>0</v>
      </c>
      <c r="O991" t="b">
        <v>0</v>
      </c>
    </row>
    <row r="992" spans="1:15">
      <c r="A992">
        <v>991</v>
      </c>
      <c r="B992" s="1">
        <v>45360.541388888887</v>
      </c>
      <c r="C992" s="2">
        <v>45360.958664189813</v>
      </c>
      <c r="E992" t="s">
        <v>11</v>
      </c>
      <c r="F992" t="s">
        <v>3</v>
      </c>
      <c r="G992" t="s">
        <v>15</v>
      </c>
      <c r="H992">
        <v>1</v>
      </c>
      <c r="I992">
        <v>1</v>
      </c>
      <c r="J992" t="s">
        <v>35</v>
      </c>
      <c r="K992" t="s">
        <v>71</v>
      </c>
      <c r="L992" t="s">
        <v>136</v>
      </c>
      <c r="M992" t="s">
        <v>1088</v>
      </c>
      <c r="N992" t="b">
        <v>0</v>
      </c>
      <c r="O992" t="b">
        <v>0</v>
      </c>
    </row>
    <row r="993" spans="1:15">
      <c r="A993">
        <v>992</v>
      </c>
      <c r="B993" s="1">
        <v>45360.561574074076</v>
      </c>
      <c r="C993" s="2">
        <v>45360.591146620369</v>
      </c>
      <c r="D993" s="2">
        <v>45360.687490231481</v>
      </c>
      <c r="E993" t="s">
        <v>9</v>
      </c>
      <c r="F993" t="s">
        <v>2</v>
      </c>
      <c r="G993" t="s">
        <v>17</v>
      </c>
      <c r="H993">
        <v>1</v>
      </c>
      <c r="I993">
        <v>4</v>
      </c>
      <c r="J993" t="s">
        <v>68</v>
      </c>
      <c r="K993" t="s">
        <v>71</v>
      </c>
      <c r="L993" t="s">
        <v>98</v>
      </c>
      <c r="M993" t="s">
        <v>1089</v>
      </c>
      <c r="N993" t="b">
        <v>0</v>
      </c>
      <c r="O993" t="b">
        <v>0</v>
      </c>
    </row>
    <row r="994" spans="1:15">
      <c r="A994">
        <v>993</v>
      </c>
      <c r="B994" s="1">
        <v>45360.584953703707</v>
      </c>
      <c r="C994" s="2">
        <v>45360.759261053237</v>
      </c>
      <c r="D994" s="2">
        <v>45361.424207847223</v>
      </c>
      <c r="E994" t="s">
        <v>10</v>
      </c>
      <c r="F994" t="s">
        <v>4</v>
      </c>
      <c r="G994" t="s">
        <v>15</v>
      </c>
      <c r="H994">
        <v>3</v>
      </c>
      <c r="I994">
        <v>4</v>
      </c>
      <c r="J994" t="s">
        <v>68</v>
      </c>
      <c r="K994" t="s">
        <v>46</v>
      </c>
      <c r="L994" t="s">
        <v>310</v>
      </c>
      <c r="M994" t="s">
        <v>1090</v>
      </c>
      <c r="N994" t="b">
        <v>0</v>
      </c>
      <c r="O994" t="b">
        <v>0</v>
      </c>
    </row>
    <row r="995" spans="1:15">
      <c r="A995">
        <v>994</v>
      </c>
      <c r="B995" s="1">
        <v>45360.713321759256</v>
      </c>
      <c r="C995" s="2">
        <v>45360.854560486114</v>
      </c>
      <c r="D995" s="2">
        <v>45361.435398368056</v>
      </c>
      <c r="E995" t="s">
        <v>10</v>
      </c>
      <c r="F995" t="s">
        <v>4</v>
      </c>
      <c r="G995" t="s">
        <v>15</v>
      </c>
      <c r="H995">
        <v>8</v>
      </c>
      <c r="I995">
        <v>8</v>
      </c>
      <c r="J995" t="s">
        <v>39</v>
      </c>
      <c r="K995" t="s">
        <v>36</v>
      </c>
      <c r="L995" t="s">
        <v>96</v>
      </c>
      <c r="M995" t="s">
        <v>1091</v>
      </c>
      <c r="N995" t="b">
        <v>0</v>
      </c>
      <c r="O995" t="b">
        <v>0</v>
      </c>
    </row>
    <row r="996" spans="1:15">
      <c r="A996">
        <v>995</v>
      </c>
      <c r="B996" s="1">
        <v>45360.748773148145</v>
      </c>
      <c r="C996" s="2">
        <v>45361.040544224539</v>
      </c>
      <c r="D996" s="2">
        <v>45361.29914747685</v>
      </c>
      <c r="E996" t="s">
        <v>10</v>
      </c>
      <c r="F996" t="s">
        <v>4</v>
      </c>
      <c r="G996" t="s">
        <v>17</v>
      </c>
      <c r="H996">
        <v>2</v>
      </c>
      <c r="I996">
        <v>3</v>
      </c>
      <c r="J996" t="s">
        <v>31</v>
      </c>
      <c r="K996" t="s">
        <v>57</v>
      </c>
      <c r="L996" t="s">
        <v>89</v>
      </c>
      <c r="M996" t="s">
        <v>1092</v>
      </c>
      <c r="N996" t="b">
        <v>0</v>
      </c>
      <c r="O996" t="b">
        <v>0</v>
      </c>
    </row>
    <row r="997" spans="1:15">
      <c r="A997">
        <v>996</v>
      </c>
      <c r="B997" s="1">
        <v>45360.763310185182</v>
      </c>
      <c r="C997" s="2">
        <v>45361.144641574072</v>
      </c>
      <c r="D997" s="2">
        <v>45363.547372291665</v>
      </c>
      <c r="E997" t="s">
        <v>11</v>
      </c>
      <c r="F997" t="s">
        <v>4</v>
      </c>
      <c r="G997" t="s">
        <v>15</v>
      </c>
      <c r="H997">
        <v>5</v>
      </c>
      <c r="I997">
        <v>7</v>
      </c>
      <c r="J997" t="s">
        <v>52</v>
      </c>
      <c r="K997" t="s">
        <v>32</v>
      </c>
      <c r="L997" t="s">
        <v>58</v>
      </c>
      <c r="M997" t="s">
        <v>1093</v>
      </c>
      <c r="N997" t="b">
        <v>1</v>
      </c>
      <c r="O997" t="b">
        <v>0</v>
      </c>
    </row>
    <row r="998" spans="1:15">
      <c r="A998">
        <v>997</v>
      </c>
      <c r="B998" s="1">
        <v>45360.910925925928</v>
      </c>
      <c r="C998" s="2">
        <v>45361.084151620373</v>
      </c>
      <c r="D998" s="2">
        <v>45361.841239733796</v>
      </c>
      <c r="E998" t="s">
        <v>10</v>
      </c>
      <c r="F998" t="s">
        <v>2</v>
      </c>
      <c r="G998" t="s">
        <v>15</v>
      </c>
      <c r="H998">
        <v>6</v>
      </c>
      <c r="I998">
        <v>4</v>
      </c>
      <c r="J998" t="s">
        <v>49</v>
      </c>
      <c r="K998" t="s">
        <v>73</v>
      </c>
      <c r="L998" t="s">
        <v>113</v>
      </c>
      <c r="M998" t="s">
        <v>1094</v>
      </c>
      <c r="N998" t="b">
        <v>1</v>
      </c>
      <c r="O998" t="b">
        <v>0</v>
      </c>
    </row>
    <row r="999" spans="1:15">
      <c r="A999">
        <v>998</v>
      </c>
      <c r="B999" s="1">
        <v>45361.055914351855</v>
      </c>
      <c r="C999" s="2">
        <v>45361.202179837965</v>
      </c>
      <c r="D999" s="2">
        <v>45362.363171122684</v>
      </c>
      <c r="E999" t="s">
        <v>11</v>
      </c>
      <c r="F999" t="s">
        <v>4</v>
      </c>
      <c r="G999" t="s">
        <v>16</v>
      </c>
      <c r="H999">
        <v>7</v>
      </c>
      <c r="I999">
        <v>4</v>
      </c>
      <c r="J999" t="s">
        <v>39</v>
      </c>
      <c r="K999" t="s">
        <v>43</v>
      </c>
      <c r="L999" t="s">
        <v>60</v>
      </c>
      <c r="M999" t="s">
        <v>1095</v>
      </c>
      <c r="N999" t="b">
        <v>0</v>
      </c>
      <c r="O999" t="b">
        <v>0</v>
      </c>
    </row>
    <row r="1000" spans="1:15">
      <c r="A1000">
        <v>999</v>
      </c>
      <c r="B1000" s="1">
        <v>45361.078865740739</v>
      </c>
      <c r="C1000" s="2">
        <v>45361.18244207176</v>
      </c>
      <c r="D1000" s="2">
        <v>45361.855762893516</v>
      </c>
      <c r="E1000" t="s">
        <v>10</v>
      </c>
      <c r="F1000" t="s">
        <v>4</v>
      </c>
      <c r="G1000" t="s">
        <v>17</v>
      </c>
      <c r="H1000">
        <v>6</v>
      </c>
      <c r="I1000">
        <v>1</v>
      </c>
      <c r="J1000" t="s">
        <v>52</v>
      </c>
      <c r="K1000" t="s">
        <v>73</v>
      </c>
      <c r="L1000" t="s">
        <v>156</v>
      </c>
      <c r="M1000" t="s">
        <v>1096</v>
      </c>
      <c r="N1000" t="b">
        <v>0</v>
      </c>
      <c r="O1000" t="b">
        <v>0</v>
      </c>
    </row>
    <row r="1001" spans="1:15">
      <c r="A1001">
        <v>1000</v>
      </c>
      <c r="B1001" s="1">
        <v>45361.117638888885</v>
      </c>
      <c r="C1001" s="2">
        <v>45361.917145914354</v>
      </c>
      <c r="D1001" s="2">
        <v>45362.209812245368</v>
      </c>
      <c r="E1001" t="s">
        <v>11</v>
      </c>
      <c r="F1001" t="s">
        <v>4</v>
      </c>
      <c r="G1001" t="s">
        <v>14</v>
      </c>
      <c r="H1001">
        <v>8</v>
      </c>
      <c r="I1001">
        <v>6</v>
      </c>
      <c r="J1001" t="s">
        <v>49</v>
      </c>
      <c r="K1001" t="s">
        <v>36</v>
      </c>
      <c r="L1001" t="s">
        <v>138</v>
      </c>
      <c r="M1001" t="s">
        <v>1097</v>
      </c>
      <c r="N1001" t="b">
        <v>0</v>
      </c>
      <c r="O100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66EB-1FB5-4054-8CEA-BC77100B01C3}">
  <dimension ref="A1:E41"/>
  <sheetViews>
    <sheetView topLeftCell="A44" workbookViewId="0">
      <selection activeCell="J51" sqref="J51"/>
    </sheetView>
  </sheetViews>
  <sheetFormatPr defaultRowHeight="15"/>
  <sheetData>
    <row r="1" spans="1:2">
      <c r="A1" t="s">
        <v>1098</v>
      </c>
    </row>
    <row r="3" spans="1:2">
      <c r="A3" t="s">
        <v>1099</v>
      </c>
      <c r="B3">
        <f>COUNTA('raw data'!A:A)-1</f>
        <v>1000</v>
      </c>
    </row>
    <row r="5" spans="1:2">
      <c r="A5" t="s">
        <v>1100</v>
      </c>
      <c r="B5">
        <f>COUNTIF('raw data'!F:F,"RESOLVED")</f>
        <v>794</v>
      </c>
    </row>
    <row r="6" spans="1:2">
      <c r="A6" t="s">
        <v>3</v>
      </c>
      <c r="B6">
        <f>COUNTIF('raw data'!F:F,"pending")</f>
        <v>45</v>
      </c>
    </row>
    <row r="7" spans="1:2">
      <c r="A7" t="s">
        <v>2</v>
      </c>
      <c r="B7">
        <f>COUNTIF('raw data'!F:F,"closed")</f>
        <v>105</v>
      </c>
    </row>
    <row r="9" spans="1:2">
      <c r="A9" t="s">
        <v>1101</v>
      </c>
      <c r="B9">
        <f>B3-SUM(B5:B7)</f>
        <v>56</v>
      </c>
    </row>
    <row r="11" spans="1:2">
      <c r="A11" t="s">
        <v>1102</v>
      </c>
      <c r="B11" s="4">
        <f>B5/B3</f>
        <v>0.79400000000000004</v>
      </c>
    </row>
    <row r="12" spans="1:2">
      <c r="A12" t="s">
        <v>1103</v>
      </c>
      <c r="B12" s="4">
        <f>B6/B3</f>
        <v>4.4999999999999998E-2</v>
      </c>
    </row>
    <row r="13" spans="1:2">
      <c r="A13" t="s">
        <v>1104</v>
      </c>
      <c r="B13" s="4">
        <f>B7/B3</f>
        <v>0.105</v>
      </c>
    </row>
    <row r="14" spans="1:2">
      <c r="A14" t="s">
        <v>1105</v>
      </c>
      <c r="B14" s="4">
        <f>B9/B3</f>
        <v>5.6000000000000001E-2</v>
      </c>
    </row>
    <row r="31" spans="1:3">
      <c r="A31" s="5" t="s">
        <v>1106</v>
      </c>
      <c r="B31" s="5" t="s">
        <v>1107</v>
      </c>
      <c r="C31" s="6"/>
    </row>
    <row r="32" spans="1:3">
      <c r="A32">
        <v>1</v>
      </c>
      <c r="B32" s="6">
        <v>130</v>
      </c>
      <c r="C32" s="6"/>
    </row>
    <row r="33" spans="1:5">
      <c r="A33">
        <v>2</v>
      </c>
      <c r="B33" s="6">
        <v>136</v>
      </c>
      <c r="C33" s="6"/>
    </row>
    <row r="34" spans="1:5">
      <c r="A34">
        <v>3</v>
      </c>
      <c r="B34" s="6">
        <v>124</v>
      </c>
      <c r="C34" s="6"/>
    </row>
    <row r="35" spans="1:5">
      <c r="A35">
        <v>4</v>
      </c>
      <c r="B35" s="6">
        <v>115</v>
      </c>
      <c r="C35" s="6"/>
      <c r="E35" s="5"/>
    </row>
    <row r="36" spans="1:5">
      <c r="A36">
        <v>5</v>
      </c>
      <c r="B36" s="6">
        <v>116</v>
      </c>
      <c r="C36" s="6"/>
    </row>
    <row r="37" spans="1:5">
      <c r="A37">
        <v>6</v>
      </c>
      <c r="B37" s="6">
        <v>129</v>
      </c>
      <c r="C37" s="6"/>
    </row>
    <row r="38" spans="1:5">
      <c r="A38">
        <v>7</v>
      </c>
      <c r="B38" s="6">
        <v>134</v>
      </c>
      <c r="C38" s="6"/>
    </row>
    <row r="39" spans="1:5">
      <c r="A39">
        <v>8</v>
      </c>
      <c r="B39" s="6">
        <v>116</v>
      </c>
      <c r="C39" s="6"/>
    </row>
    <row r="40" spans="1:5">
      <c r="B40" s="6"/>
      <c r="C40" s="6"/>
    </row>
    <row r="41" spans="1:5">
      <c r="B4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thasna A</cp:lastModifiedBy>
  <cp:revision/>
  <dcterms:created xsi:type="dcterms:W3CDTF">2026-09-08T11:44:38Z</dcterms:created>
  <dcterms:modified xsi:type="dcterms:W3CDTF">2026-09-09T15:29:43Z</dcterms:modified>
  <cp:category/>
  <cp:contentStatus/>
</cp:coreProperties>
</file>